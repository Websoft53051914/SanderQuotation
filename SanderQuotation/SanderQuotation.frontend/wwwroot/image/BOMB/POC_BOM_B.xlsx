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LEN\Desktop\AI_POC\"/>
    </mc:Choice>
  </mc:AlternateContent>
  <xr:revisionPtr revIDLastSave="0" documentId="13_ncr:1_{62227DFE-8DCE-4F15-BF4D-243FD4545DDD}" xr6:coauthVersionLast="47" xr6:coauthVersionMax="47" xr10:uidLastSave="{00000000-0000-0000-0000-000000000000}"/>
  <bookViews>
    <workbookView xWindow="-120" yWindow="-120" windowWidth="29040" windowHeight="15990" xr2:uid="{6EE172A6-1F92-4C20-B0AD-82054A06C62E}"/>
  </bookViews>
  <sheets>
    <sheet name="原始檔" sheetId="2" r:id="rId1"/>
    <sheet name="報價檔" sheetId="1" r:id="rId2"/>
  </sheets>
  <definedNames>
    <definedName name="_xlnm._FilterDatabase" localSheetId="1" hidden="1">報價檔!$A$7:$R$48</definedName>
    <definedName name="_xlnm.Print_Area" localSheetId="0">原始檔!$A$1:$E$46</definedName>
    <definedName name="_xlnm.Print_Titles" localSheetId="0">原始檔!$1:$4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P48" i="1"/>
  <c r="O48" i="1"/>
  <c r="M48" i="1"/>
  <c r="L48" i="1"/>
  <c r="J48" i="1"/>
  <c r="I48" i="1"/>
  <c r="G48" i="1"/>
  <c r="Q47" i="1"/>
  <c r="R47" i="1" s="1"/>
  <c r="P47" i="1"/>
  <c r="N47" i="1"/>
  <c r="O47" i="1" s="1"/>
  <c r="M47" i="1"/>
  <c r="K47" i="1"/>
  <c r="L47" i="1" s="1"/>
  <c r="J47" i="1"/>
  <c r="H47" i="1"/>
  <c r="I47" i="1" s="1"/>
  <c r="G47" i="1"/>
  <c r="R46" i="1"/>
  <c r="P46" i="1"/>
  <c r="O46" i="1"/>
  <c r="M46" i="1"/>
  <c r="L46" i="1"/>
  <c r="J46" i="1"/>
  <c r="I46" i="1"/>
  <c r="G46" i="1"/>
  <c r="R45" i="1"/>
  <c r="P45" i="1"/>
  <c r="O45" i="1"/>
  <c r="M45" i="1"/>
  <c r="L45" i="1"/>
  <c r="J45" i="1"/>
  <c r="I45" i="1"/>
  <c r="G45" i="1"/>
  <c r="R44" i="1"/>
  <c r="P44" i="1"/>
  <c r="O44" i="1"/>
  <c r="M44" i="1"/>
  <c r="L44" i="1"/>
  <c r="J44" i="1"/>
  <c r="I44" i="1"/>
  <c r="G44" i="1"/>
  <c r="R43" i="1"/>
  <c r="P43" i="1"/>
  <c r="O43" i="1"/>
  <c r="M43" i="1"/>
  <c r="L43" i="1"/>
  <c r="J43" i="1"/>
  <c r="I43" i="1"/>
  <c r="G43" i="1"/>
  <c r="R42" i="1"/>
  <c r="P42" i="1"/>
  <c r="O42" i="1"/>
  <c r="M42" i="1"/>
  <c r="L42" i="1"/>
  <c r="J42" i="1"/>
  <c r="I42" i="1"/>
  <c r="G42" i="1"/>
  <c r="R41" i="1"/>
  <c r="P41" i="1"/>
  <c r="O41" i="1"/>
  <c r="M41" i="1"/>
  <c r="L41" i="1"/>
  <c r="J41" i="1"/>
  <c r="I41" i="1"/>
  <c r="G41" i="1"/>
  <c r="R40" i="1"/>
  <c r="P40" i="1"/>
  <c r="O40" i="1"/>
  <c r="M40" i="1"/>
  <c r="L40" i="1"/>
  <c r="J40" i="1"/>
  <c r="I40" i="1"/>
  <c r="G40" i="1"/>
  <c r="R39" i="1"/>
  <c r="P39" i="1"/>
  <c r="O39" i="1"/>
  <c r="M39" i="1"/>
  <c r="L39" i="1"/>
  <c r="J39" i="1"/>
  <c r="I39" i="1"/>
  <c r="G39" i="1"/>
  <c r="R38" i="1"/>
  <c r="P38" i="1"/>
  <c r="O38" i="1"/>
  <c r="M38" i="1"/>
  <c r="L38" i="1"/>
  <c r="J38" i="1"/>
  <c r="I38" i="1"/>
  <c r="G38" i="1"/>
  <c r="R37" i="1"/>
  <c r="P37" i="1"/>
  <c r="O37" i="1"/>
  <c r="M37" i="1"/>
  <c r="L37" i="1"/>
  <c r="J37" i="1"/>
  <c r="I37" i="1"/>
  <c r="G37" i="1"/>
  <c r="R36" i="1"/>
  <c r="P36" i="1"/>
  <c r="O36" i="1"/>
  <c r="M36" i="1"/>
  <c r="L36" i="1"/>
  <c r="J36" i="1"/>
  <c r="I36" i="1"/>
  <c r="G36" i="1"/>
  <c r="R35" i="1"/>
  <c r="P35" i="1"/>
  <c r="O35" i="1"/>
  <c r="M35" i="1"/>
  <c r="L35" i="1"/>
  <c r="J35" i="1"/>
  <c r="I35" i="1"/>
  <c r="G35" i="1"/>
  <c r="R34" i="1"/>
  <c r="P34" i="1"/>
  <c r="O34" i="1"/>
  <c r="M34" i="1"/>
  <c r="L34" i="1"/>
  <c r="J34" i="1"/>
  <c r="I34" i="1"/>
  <c r="G34" i="1"/>
  <c r="R33" i="1"/>
  <c r="P33" i="1"/>
  <c r="O33" i="1"/>
  <c r="M33" i="1"/>
  <c r="L33" i="1"/>
  <c r="J33" i="1"/>
  <c r="I33" i="1"/>
  <c r="G33" i="1"/>
  <c r="R32" i="1"/>
  <c r="P32" i="1"/>
  <c r="O32" i="1"/>
  <c r="M32" i="1"/>
  <c r="L32" i="1"/>
  <c r="J32" i="1"/>
  <c r="I32" i="1"/>
  <c r="G32" i="1"/>
  <c r="R31" i="1"/>
  <c r="P31" i="1"/>
  <c r="O31" i="1"/>
  <c r="M31" i="1"/>
  <c r="L31" i="1"/>
  <c r="J31" i="1"/>
  <c r="I31" i="1"/>
  <c r="G31" i="1"/>
  <c r="R30" i="1"/>
  <c r="P30" i="1"/>
  <c r="O30" i="1"/>
  <c r="M30" i="1"/>
  <c r="L30" i="1"/>
  <c r="J30" i="1"/>
  <c r="I30" i="1"/>
  <c r="G30" i="1"/>
  <c r="R29" i="1"/>
  <c r="P29" i="1"/>
  <c r="O29" i="1"/>
  <c r="M29" i="1"/>
  <c r="L29" i="1"/>
  <c r="J29" i="1"/>
  <c r="I29" i="1"/>
  <c r="G29" i="1"/>
  <c r="R28" i="1"/>
  <c r="P28" i="1"/>
  <c r="O28" i="1"/>
  <c r="M28" i="1"/>
  <c r="L28" i="1"/>
  <c r="J28" i="1"/>
  <c r="I28" i="1"/>
  <c r="G28" i="1"/>
  <c r="R27" i="1"/>
  <c r="P27" i="1"/>
  <c r="O27" i="1"/>
  <c r="M27" i="1"/>
  <c r="L27" i="1"/>
  <c r="J27" i="1"/>
  <c r="I27" i="1"/>
  <c r="G27" i="1"/>
  <c r="R26" i="1"/>
  <c r="P26" i="1"/>
  <c r="O26" i="1"/>
  <c r="M26" i="1"/>
  <c r="L26" i="1"/>
  <c r="J26" i="1"/>
  <c r="I26" i="1"/>
  <c r="G26" i="1"/>
  <c r="R25" i="1"/>
  <c r="P25" i="1"/>
  <c r="O25" i="1"/>
  <c r="M25" i="1"/>
  <c r="L25" i="1"/>
  <c r="J25" i="1"/>
  <c r="I25" i="1"/>
  <c r="G25" i="1"/>
  <c r="R24" i="1"/>
  <c r="P24" i="1"/>
  <c r="O24" i="1"/>
  <c r="M24" i="1"/>
  <c r="L24" i="1"/>
  <c r="J24" i="1"/>
  <c r="I24" i="1"/>
  <c r="G24" i="1"/>
  <c r="R23" i="1"/>
  <c r="P23" i="1"/>
  <c r="O23" i="1"/>
  <c r="M23" i="1"/>
  <c r="L23" i="1"/>
  <c r="J23" i="1"/>
  <c r="I23" i="1"/>
  <c r="G23" i="1"/>
  <c r="R22" i="1"/>
  <c r="P22" i="1"/>
  <c r="O22" i="1"/>
  <c r="M22" i="1"/>
  <c r="L22" i="1"/>
  <c r="J22" i="1"/>
  <c r="I22" i="1"/>
  <c r="G22" i="1"/>
  <c r="R21" i="1"/>
  <c r="P21" i="1"/>
  <c r="O21" i="1"/>
  <c r="M21" i="1"/>
  <c r="L21" i="1"/>
  <c r="J21" i="1"/>
  <c r="I21" i="1"/>
  <c r="G21" i="1"/>
  <c r="R20" i="1"/>
  <c r="P20" i="1"/>
  <c r="O20" i="1"/>
  <c r="M20" i="1"/>
  <c r="L20" i="1"/>
  <c r="J20" i="1"/>
  <c r="I20" i="1"/>
  <c r="G20" i="1"/>
  <c r="R19" i="1"/>
  <c r="P19" i="1"/>
  <c r="O19" i="1"/>
  <c r="M19" i="1"/>
  <c r="L19" i="1"/>
  <c r="J19" i="1"/>
  <c r="I19" i="1"/>
  <c r="G19" i="1"/>
  <c r="R18" i="1"/>
  <c r="P18" i="1"/>
  <c r="O18" i="1"/>
  <c r="M18" i="1"/>
  <c r="L18" i="1"/>
  <c r="J18" i="1"/>
  <c r="I18" i="1"/>
  <c r="G18" i="1"/>
  <c r="R17" i="1"/>
  <c r="P17" i="1"/>
  <c r="O17" i="1"/>
  <c r="M17" i="1"/>
  <c r="L17" i="1"/>
  <c r="J17" i="1"/>
  <c r="I17" i="1"/>
  <c r="G17" i="1"/>
  <c r="R16" i="1"/>
  <c r="P16" i="1"/>
  <c r="O16" i="1"/>
  <c r="M16" i="1"/>
  <c r="L16" i="1"/>
  <c r="J16" i="1"/>
  <c r="I16" i="1"/>
  <c r="G16" i="1"/>
  <c r="R15" i="1"/>
  <c r="P15" i="1"/>
  <c r="O15" i="1"/>
  <c r="M15" i="1"/>
  <c r="L15" i="1"/>
  <c r="J15" i="1"/>
  <c r="I15" i="1"/>
  <c r="G15" i="1"/>
  <c r="R14" i="1"/>
  <c r="P14" i="1"/>
  <c r="O14" i="1"/>
  <c r="M14" i="1"/>
  <c r="L14" i="1"/>
  <c r="J14" i="1"/>
  <c r="I14" i="1"/>
  <c r="G14" i="1"/>
  <c r="R13" i="1"/>
  <c r="P13" i="1"/>
  <c r="O13" i="1"/>
  <c r="M13" i="1"/>
  <c r="L13" i="1"/>
  <c r="J13" i="1"/>
  <c r="I13" i="1"/>
  <c r="G13" i="1"/>
  <c r="R12" i="1"/>
  <c r="P12" i="1"/>
  <c r="O12" i="1"/>
  <c r="M12" i="1"/>
  <c r="L12" i="1"/>
  <c r="J12" i="1"/>
  <c r="I12" i="1"/>
  <c r="G12" i="1"/>
  <c r="R11" i="1"/>
  <c r="P11" i="1"/>
  <c r="O11" i="1"/>
  <c r="M11" i="1"/>
  <c r="L11" i="1"/>
  <c r="J11" i="1"/>
  <c r="I11" i="1"/>
  <c r="G11" i="1"/>
  <c r="R10" i="1"/>
  <c r="P10" i="1"/>
  <c r="O10" i="1"/>
  <c r="M10" i="1"/>
  <c r="L10" i="1"/>
  <c r="J10" i="1"/>
  <c r="I10" i="1"/>
  <c r="G10" i="1"/>
  <c r="R9" i="1"/>
  <c r="P9" i="1"/>
  <c r="O9" i="1"/>
  <c r="M9" i="1"/>
  <c r="L9" i="1"/>
  <c r="J9" i="1"/>
  <c r="I9" i="1"/>
  <c r="G9" i="1"/>
  <c r="R8" i="1"/>
  <c r="P8" i="1"/>
  <c r="O8" i="1"/>
  <c r="M8" i="1"/>
  <c r="L8" i="1"/>
  <c r="J8" i="1"/>
  <c r="I8" i="1"/>
  <c r="G8" i="1"/>
</calcChain>
</file>

<file path=xl/sharedStrings.xml><?xml version="1.0" encoding="utf-8"?>
<sst xmlns="http://schemas.openxmlformats.org/spreadsheetml/2006/main" count="332" uniqueCount="205">
  <si>
    <t>日幣(JPY)</t>
    <phoneticPr fontId="1" type="noConversion"/>
  </si>
  <si>
    <t>Chloe</t>
  </si>
  <si>
    <t>V</t>
  </si>
  <si>
    <t>美金(USD)</t>
    <phoneticPr fontId="1" type="noConversion"/>
  </si>
  <si>
    <t>Abby</t>
  </si>
  <si>
    <t>人民幣(RMB)</t>
    <phoneticPr fontId="1" type="noConversion"/>
  </si>
  <si>
    <t>Kelly</t>
  </si>
  <si>
    <t>Indented BO+A2:I189M</t>
  </si>
  <si>
    <t>Rosy</t>
  </si>
  <si>
    <t>0648-0560-000 REV 001</t>
  </si>
  <si>
    <t>Component Part</t>
  </si>
  <si>
    <t>Description</t>
  </si>
  <si>
    <t>Qty</t>
  </si>
  <si>
    <t>Manufacturer</t>
  </si>
  <si>
    <t>Manufacturer Part Number</t>
  </si>
  <si>
    <t>原幣別</t>
  </si>
  <si>
    <t>用量</t>
  </si>
  <si>
    <t>原單價</t>
  </si>
  <si>
    <t>報價(NTD)</t>
  </si>
  <si>
    <t>4753-0562-000</t>
  </si>
  <si>
    <t>Bumper, Rubber .562Dia.281H.297Hole</t>
  </si>
  <si>
    <t>MCMASTER CARR</t>
  </si>
  <si>
    <t>1670K1</t>
  </si>
  <si>
    <t>5305-G603-000</t>
  </si>
  <si>
    <t>LED, Chip 100° 0603 0.8mm Green</t>
  </si>
  <si>
    <t xml:space="preserve">LITEON </t>
  </si>
  <si>
    <t xml:space="preserve">LTST-C190KGKT </t>
  </si>
  <si>
    <t>USD</t>
  </si>
  <si>
    <t xml:space="preserve">LTST-C191KGKT </t>
  </si>
  <si>
    <t>EVERLIGHT ELECTRONICS</t>
  </si>
  <si>
    <t xml:space="preserve">QTLP600C4TR </t>
  </si>
  <si>
    <t xml:space="preserve">WURTH ELECTRONICS MIDCOM </t>
  </si>
  <si>
    <t xml:space="preserve">150060VS55040 </t>
  </si>
  <si>
    <t xml:space="preserve">INOLUX </t>
  </si>
  <si>
    <t>IN-S63BTYG</t>
  </si>
  <si>
    <t xml:space="preserve">HARVATEK CORPORATION </t>
  </si>
  <si>
    <t xml:space="preserve">B19Y1UYG-20C000313U1930 </t>
  </si>
  <si>
    <t>5305-R603-000</t>
  </si>
  <si>
    <t>LED, Chip 100° 0603 0.8mm BrightRed</t>
  </si>
  <si>
    <t>EL-19-21SURC/S530-A2/TR8</t>
  </si>
  <si>
    <t xml:space="preserve">150060SS75000 </t>
  </si>
  <si>
    <t xml:space="preserve">AMERICAN OPTO PLUS LED </t>
  </si>
  <si>
    <t>L196L-UEC-TR</t>
  </si>
  <si>
    <t xml:space="preserve">B1911USD-20D000114U1930 </t>
  </si>
  <si>
    <t xml:space="preserve">B1931USD-20D000814U1930 </t>
  </si>
  <si>
    <t>QT BRIGHTEK (QTB)</t>
  </si>
  <si>
    <t xml:space="preserve">QBLP601-R </t>
  </si>
  <si>
    <t>5305-Y603-000</t>
  </si>
  <si>
    <t>LED, Chip 100-140° 0603 0.8mmYellow</t>
  </si>
  <si>
    <t>FAIRCHILD</t>
  </si>
  <si>
    <t xml:space="preserve">QTLP601CYTR </t>
  </si>
  <si>
    <t xml:space="preserve">DIALIGHT </t>
  </si>
  <si>
    <t xml:space="preserve">5988040100F </t>
  </si>
  <si>
    <t>19-21UYC/S530-A2/TR8</t>
  </si>
  <si>
    <t xml:space="preserve">EL-19-21UYC/S530-A2/TR8 </t>
  </si>
  <si>
    <t xml:space="preserve">150060YS75000 </t>
  </si>
  <si>
    <t xml:space="preserve">IN-S63BTY </t>
  </si>
  <si>
    <t>5410-120N-000</t>
  </si>
  <si>
    <t>MOSFET, SMT N-Chan 3-Pwr SMPS</t>
  </si>
  <si>
    <t xml:space="preserve">INFINEON </t>
  </si>
  <si>
    <t>BSC120N03LSG</t>
  </si>
  <si>
    <t xml:space="preserve">BSC120N03LSGATMA1 </t>
  </si>
  <si>
    <t>5610-3150-030</t>
  </si>
  <si>
    <t xml:space="preserve">IC, SMT Volt 12A 6-42V Step Down </t>
  </si>
  <si>
    <t>NATIONAL SEMI</t>
  </si>
  <si>
    <t xml:space="preserve">LM3150MH/NOPB </t>
  </si>
  <si>
    <t>LM3150MHE/NOPB</t>
  </si>
  <si>
    <t>LM3150MHX/NOPB</t>
  </si>
  <si>
    <t>5610-9263-D24</t>
  </si>
  <si>
    <t xml:space="preserve">IC, SMT LED Driver 16 Chnl AL58263 </t>
  </si>
  <si>
    <t xml:space="preserve">DIODES, INC. </t>
  </si>
  <si>
    <t>AL58263T24E-13</t>
  </si>
  <si>
    <t>MY-SEMI</t>
  </si>
  <si>
    <t>MY9263TE</t>
  </si>
  <si>
    <t>5610-TMP2-Z05</t>
  </si>
  <si>
    <t>IC, SMT Temp Sensor LwPwr AnalogOut</t>
  </si>
  <si>
    <t xml:space="preserve">TI </t>
  </si>
  <si>
    <t xml:space="preserve">TMP20AIDCKR </t>
  </si>
  <si>
    <t xml:space="preserve">TMP20AIDCKT </t>
  </si>
  <si>
    <t>5616-3203-A06</t>
  </si>
  <si>
    <t>IC, Fixed +3.3VDC Buck SMPS, 2A</t>
  </si>
  <si>
    <t xml:space="preserve">AP63203 </t>
  </si>
  <si>
    <t>561C-2G12-Z08</t>
  </si>
  <si>
    <t>IC, SMT Buf NonInvrt Dual Bus 3 Out</t>
  </si>
  <si>
    <t>74LVC2G125DCTRE4</t>
  </si>
  <si>
    <t>561C-2G17-A06</t>
  </si>
  <si>
    <t>IC, SOT23-6, Dual Schmitt-Trig Bufr</t>
  </si>
  <si>
    <t>SN74LVC2G17DBV</t>
  </si>
  <si>
    <t xml:space="preserve">SN74LVC2G17DBVR </t>
  </si>
  <si>
    <t xml:space="preserve">SN74LVC2G17DBVT </t>
  </si>
  <si>
    <t xml:space="preserve">SN74LVC2G17DBVTG4 </t>
  </si>
  <si>
    <t xml:space="preserve">NEXPERIA </t>
  </si>
  <si>
    <t xml:space="preserve">74LVC2G17GV </t>
  </si>
  <si>
    <t>561D-1782-B08</t>
  </si>
  <si>
    <t>IC, SMT FaultPrtct RS485 Tncvr 3.3V</t>
  </si>
  <si>
    <t>SN65HVD1782D</t>
  </si>
  <si>
    <t>5632-F410-F48</t>
  </si>
  <si>
    <t xml:space="preserve">Microctrlr, ST ARM M4 32Bit 1-Core </t>
  </si>
  <si>
    <t xml:space="preserve">ST Micro </t>
  </si>
  <si>
    <t xml:space="preserve">STM32F410CBT6 </t>
  </si>
  <si>
    <t xml:space="preserve">STM32F410CBT7 </t>
  </si>
  <si>
    <t>5906-026H-000</t>
  </si>
  <si>
    <t>TVS, 26V 1.2J Energy SMD 1210</t>
  </si>
  <si>
    <t>AVX</t>
  </si>
  <si>
    <t>VC121026H560DP</t>
  </si>
  <si>
    <t>6012-0016-006</t>
  </si>
  <si>
    <t>CRYSTAL, 16.00 MHZ, 6pF, .024, .60m</t>
  </si>
  <si>
    <t>Abracon</t>
  </si>
  <si>
    <t>ABM10W-16.0000MHZ-6-D1X-T3</t>
  </si>
  <si>
    <t xml:space="preserve">6359-6983-01D            </t>
  </si>
  <si>
    <t xml:space="preserve">Res SSMT 1/10W 1% 698 Ohm 0603     </t>
  </si>
  <si>
    <t xml:space="preserve">VISHAY DALE                        </t>
  </si>
  <si>
    <t xml:space="preserve">CRCW0603698RFKEA                                  </t>
  </si>
  <si>
    <t>Indented BOM</t>
  </si>
  <si>
    <t>0648-0560-000 REV 001</t>
    <phoneticPr fontId="14" type="noConversion"/>
  </si>
  <si>
    <t>Display Part</t>
  </si>
  <si>
    <t xml:space="preserve">4753-0562-000            </t>
  </si>
  <si>
    <t xml:space="preserve">MCMASTER CARR                      </t>
  </si>
  <si>
    <t xml:space="preserve">1670K1                                            </t>
  </si>
  <si>
    <t xml:space="preserve">5305-G603-000            </t>
  </si>
  <si>
    <t xml:space="preserve">LED, Chip 100° 0603 0.8mm Green    </t>
  </si>
  <si>
    <t xml:space="preserve">LITEON                             </t>
  </si>
  <si>
    <t xml:space="preserve">LTST-C190KGKT                                     </t>
  </si>
  <si>
    <t xml:space="preserve">LTST-C191KGKT                                     </t>
  </si>
  <si>
    <t xml:space="preserve">EVERLIGHT ELECTRONICS              </t>
  </si>
  <si>
    <t xml:space="preserve">QTLP600C4TR                                       </t>
  </si>
  <si>
    <t xml:space="preserve">WURTH ELECTRONICS MIDCOM           </t>
  </si>
  <si>
    <t xml:space="preserve">150060VS55040                                     </t>
  </si>
  <si>
    <t xml:space="preserve">INOLUX                             </t>
  </si>
  <si>
    <t xml:space="preserve">IN-S63BTYG                                        </t>
  </si>
  <si>
    <t xml:space="preserve">HARVATEK CORPORATION               </t>
  </si>
  <si>
    <t xml:space="preserve">B19Y1UYG-20C000313U1930                           </t>
  </si>
  <si>
    <t xml:space="preserve">5305-R603-000            </t>
  </si>
  <si>
    <t xml:space="preserve">EL-19-21SURC/S530-A2/TR8                          </t>
  </si>
  <si>
    <t xml:space="preserve">150060SS75000                                     </t>
  </si>
  <si>
    <t xml:space="preserve">AMERICAN OPTO PLUS LED             </t>
  </si>
  <si>
    <t xml:space="preserve">L196L-UEC-TR                                      </t>
  </si>
  <si>
    <t xml:space="preserve">B1911USD-20D000114U1930                           </t>
  </si>
  <si>
    <t xml:space="preserve">B1931USD-20D000814U1930                           </t>
  </si>
  <si>
    <t xml:space="preserve">QT BRIGHTEK (QTB)                  </t>
  </si>
  <si>
    <t xml:space="preserve">QBLP601-R                                         </t>
  </si>
  <si>
    <t xml:space="preserve">5305-Y603-000            </t>
  </si>
  <si>
    <t xml:space="preserve">FAIRCHILD                          </t>
  </si>
  <si>
    <t xml:space="preserve">QTLP601CYTR                                       </t>
  </si>
  <si>
    <t xml:space="preserve">DIALIGHT                           </t>
  </si>
  <si>
    <t xml:space="preserve">5988040100F                                       </t>
  </si>
  <si>
    <t xml:space="preserve">19-21UYC/S530-A2/TR8                              </t>
  </si>
  <si>
    <t xml:space="preserve">EL-19-21UYC/S530-A2/TR8                           </t>
  </si>
  <si>
    <t xml:space="preserve">150060YS75000                                     </t>
  </si>
  <si>
    <t xml:space="preserve">IN-S63BTY                                         </t>
  </si>
  <si>
    <t xml:space="preserve">5410-120N-000            </t>
  </si>
  <si>
    <t xml:space="preserve">MOSFET, SMT N-Chan 3-Pwr SMPS      </t>
  </si>
  <si>
    <t xml:space="preserve">INFINEON                           </t>
  </si>
  <si>
    <t xml:space="preserve">BSC120N03LSG                                      </t>
  </si>
  <si>
    <t xml:space="preserve">BSC120N03LSGATMA1                                 </t>
  </si>
  <si>
    <t xml:space="preserve">5610-3150-030            </t>
  </si>
  <si>
    <t xml:space="preserve">IC, SMT Volt 12A 6-42V Step Down   </t>
  </si>
  <si>
    <t xml:space="preserve">NATIONAL SEMI                      </t>
  </si>
  <si>
    <t xml:space="preserve">LM3150MH/NOPB                                     </t>
  </si>
  <si>
    <t xml:space="preserve">LM3150MHE/NOPB                                    </t>
  </si>
  <si>
    <t xml:space="preserve">LM3150MHX/NOPB                                    </t>
  </si>
  <si>
    <t xml:space="preserve">5610-9263-D24            </t>
  </si>
  <si>
    <t xml:space="preserve">DIODES, INC.                       </t>
  </si>
  <si>
    <t xml:space="preserve">AL58263T24E-13                                    </t>
  </si>
  <si>
    <t xml:space="preserve">MY-SEMI                            </t>
  </si>
  <si>
    <t xml:space="preserve">MY9263TE                                          </t>
  </si>
  <si>
    <t xml:space="preserve">5610-TMP2-Z05            </t>
  </si>
  <si>
    <t xml:space="preserve">TI                                 </t>
  </si>
  <si>
    <t xml:space="preserve">TMP20AIDCKR                                       </t>
  </si>
  <si>
    <t xml:space="preserve">TMP20AIDCKT                                       </t>
  </si>
  <si>
    <t xml:space="preserve">5616-3203-A06            </t>
  </si>
  <si>
    <t xml:space="preserve">IC, Fixed +3.3VDC Buck SMPS, 2A    </t>
  </si>
  <si>
    <t xml:space="preserve">AP63203                                           </t>
  </si>
  <si>
    <t xml:space="preserve">561C-2G12-Z08            </t>
  </si>
  <si>
    <t xml:space="preserve">74LVC2G125DCTRE4                                  </t>
  </si>
  <si>
    <t xml:space="preserve">561C-2G17-A06            </t>
  </si>
  <si>
    <t xml:space="preserve">SN74LVC2G17DBV                                    </t>
  </si>
  <si>
    <t xml:space="preserve">SN74LVC2G17DBVR                                   </t>
  </si>
  <si>
    <t xml:space="preserve">SN74LVC2G17DBVT                                   </t>
  </si>
  <si>
    <t xml:space="preserve">SN74LVC2G17DBVTG4                                 </t>
  </si>
  <si>
    <t xml:space="preserve">NEXPERIA                           </t>
  </si>
  <si>
    <t xml:space="preserve">74LVC2G17GV                                       </t>
  </si>
  <si>
    <t xml:space="preserve">561D-1782-B08            </t>
  </si>
  <si>
    <t xml:space="preserve">SN65HVD1782D                                      </t>
  </si>
  <si>
    <t xml:space="preserve">5632-F410-F48            </t>
  </si>
  <si>
    <t xml:space="preserve">ST Micro                           </t>
  </si>
  <si>
    <t xml:space="preserve">STM32F410CBT6                                     </t>
  </si>
  <si>
    <t xml:space="preserve">STM32F410CBT7                                     </t>
  </si>
  <si>
    <t xml:space="preserve">5906-026H-000            </t>
  </si>
  <si>
    <t xml:space="preserve">TVS, 26V 1.2J Energy SMD 1210      </t>
  </si>
  <si>
    <t xml:space="preserve">AVX                                </t>
  </si>
  <si>
    <t xml:space="preserve">VC121026H560DP                                    </t>
  </si>
  <si>
    <t xml:space="preserve">6012-0016-006            </t>
  </si>
  <si>
    <t xml:space="preserve">Abracon                            </t>
  </si>
  <si>
    <t xml:space="preserve">ABM10W-16.0000MHZ-6-D1X-T3                        </t>
  </si>
  <si>
    <t>內部採購紀錄</t>
    <phoneticPr fontId="1" type="noConversion"/>
  </si>
  <si>
    <t>幣別</t>
    <phoneticPr fontId="1" type="noConversion"/>
  </si>
  <si>
    <t>數量</t>
    <phoneticPr fontId="1" type="noConversion"/>
  </si>
  <si>
    <t>外部查價</t>
    <phoneticPr fontId="1" type="noConversion"/>
  </si>
  <si>
    <t>單價(原幣)</t>
    <phoneticPr fontId="1" type="noConversion"/>
  </si>
  <si>
    <t>單價(台幣)</t>
    <phoneticPr fontId="1" type="noConversion"/>
  </si>
  <si>
    <t>採購單日期</t>
    <phoneticPr fontId="1" type="noConversion"/>
  </si>
  <si>
    <t>查價日期</t>
    <phoneticPr fontId="1" type="noConversion"/>
  </si>
  <si>
    <t>MOQ</t>
    <phoneticPr fontId="1" type="noConversion"/>
  </si>
  <si>
    <t>供應商名稱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</si>
</sst>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  <font>
      <sz val="10"/>
      <name val="Arial"/>
      <family val="2"/>
    </font>
    <font>
      <b/>
      <sz val="10"/>
      <color rgb="FF2F00FF"/>
      <name val="細明體"/>
      <family val="3"/>
      <charset val="136"/>
    </font>
    <font>
      <b/>
      <sz val="10"/>
      <color theme="1"/>
      <name val="Arial"/>
      <family val="2"/>
    </font>
    <font>
      <b/>
      <sz val="10"/>
      <color rgb="FF0000FF"/>
      <name val="新細明體"/>
      <family val="2"/>
      <scheme val="minor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rgb="FF2F00FF"/>
      <name val="Arial"/>
      <family val="2"/>
    </font>
    <font>
      <b/>
      <u/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sz val="10"/>
      <name val="Microsoft JhengHei"/>
      <family val="2"/>
    </font>
    <font>
      <sz val="10"/>
      <name val="Microsoft JhengHei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4" fillId="2" borderId="0" xfId="1" applyFont="1" applyFill="1" applyAlignment="1">
      <alignment horizontal="right" vertical="center"/>
    </xf>
    <xf numFmtId="0" fontId="5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4" borderId="0" xfId="0" applyFill="1"/>
    <xf numFmtId="0" fontId="0" fillId="5" borderId="0" xfId="0" applyFill="1"/>
    <xf numFmtId="0" fontId="13" fillId="0" borderId="0" xfId="0" applyFont="1" applyAlignment="1">
      <alignment wrapText="1"/>
    </xf>
    <xf numFmtId="0" fontId="12" fillId="0" borderId="0" xfId="0" applyFont="1"/>
    <xf numFmtId="0" fontId="3" fillId="0" borderId="0" xfId="1"/>
    <xf numFmtId="0" fontId="7" fillId="0" borderId="0" xfId="1" applyFont="1"/>
    <xf numFmtId="0" fontId="8" fillId="0" borderId="0" xfId="1" applyFont="1"/>
    <xf numFmtId="0" fontId="12" fillId="0" borderId="0" xfId="1" applyFont="1"/>
    <xf numFmtId="0" fontId="3" fillId="0" borderId="0" xfId="1" applyAlignment="1">
      <alignment wrapText="1"/>
    </xf>
    <xf numFmtId="0" fontId="3" fillId="0" borderId="0" xfId="0" applyFont="1"/>
    <xf numFmtId="0" fontId="3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3" fillId="0" borderId="0" xfId="1"/>
    <xf numFmtId="0" fontId="7" fillId="0" borderId="0" xfId="1" applyFont="1"/>
    <xf numFmtId="0" fontId="15" fillId="0" borderId="3" xfId="1" applyFont="1" applyBorder="1" applyAlignment="1">
      <alignment horizontal="center"/>
    </xf>
    <xf numFmtId="0" fontId="16" fillId="0" borderId="3" xfId="1" applyFont="1" applyBorder="1"/>
    <xf numFmtId="0" fontId="15" fillId="0" borderId="3" xfId="1" applyFont="1" applyBorder="1"/>
  </cellXfs>
  <cellStyles count="2">
    <cellStyle name="一般" xfId="0" builtinId="0"/>
    <cellStyle name="一般 2" xfId="1" xr:uid="{79AAC699-D27A-4B05-8371-5F1D085F6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E8FA-CF4F-4847-9B35-EDE658D80797}">
  <sheetPr codeName="Sheet2"/>
  <dimension ref="A1:R44"/>
  <sheetViews>
    <sheetView tabSelected="1" topLeftCell="B1" zoomScaleNormal="100" workbookViewId="0">
      <selection activeCell="I26" sqref="I26"/>
    </sheetView>
  </sheetViews>
  <sheetFormatPr defaultColWidth="9.5703125" defaultRowHeight="12.75"/>
  <cols>
    <col min="1" max="1" width="18.7109375" style="26" customWidth="1"/>
    <col min="2" max="2" width="42.7109375" style="26" customWidth="1"/>
    <col min="3" max="3" width="7.7109375" style="26" customWidth="1"/>
    <col min="4" max="5" width="33.7109375" style="26" customWidth="1"/>
    <col min="6" max="6" width="23.140625" style="26" bestFit="1" customWidth="1"/>
    <col min="7" max="7" width="13.140625" style="26" bestFit="1" customWidth="1"/>
    <col min="8" max="8" width="10.28515625" style="26" bestFit="1" customWidth="1"/>
    <col min="9" max="11" width="9.5703125" style="26"/>
    <col min="12" max="12" width="11.140625" style="26" bestFit="1" customWidth="1"/>
    <col min="13" max="14" width="9.5703125" style="26"/>
    <col min="15" max="16" width="11.7109375" style="26" bestFit="1" customWidth="1"/>
    <col min="17" max="17" width="9.5703125" style="26"/>
    <col min="18" max="18" width="11.5703125" style="26" customWidth="1"/>
    <col min="19" max="258" width="9.5703125" style="26"/>
    <col min="259" max="259" width="18.7109375" style="26" customWidth="1"/>
    <col min="260" max="260" width="42.7109375" style="26" customWidth="1"/>
    <col min="261" max="261" width="7.7109375" style="26" customWidth="1"/>
    <col min="262" max="263" width="33.7109375" style="26" customWidth="1"/>
    <col min="264" max="264" width="23.140625" style="26" bestFit="1" customWidth="1"/>
    <col min="265" max="265" width="69" style="26" bestFit="1" customWidth="1"/>
    <col min="266" max="514" width="9.5703125" style="26"/>
    <col min="515" max="515" width="18.7109375" style="26" customWidth="1"/>
    <col min="516" max="516" width="42.7109375" style="26" customWidth="1"/>
    <col min="517" max="517" width="7.7109375" style="26" customWidth="1"/>
    <col min="518" max="519" width="33.7109375" style="26" customWidth="1"/>
    <col min="520" max="520" width="23.140625" style="26" bestFit="1" customWidth="1"/>
    <col min="521" max="521" width="69" style="26" bestFit="1" customWidth="1"/>
    <col min="522" max="770" width="9.5703125" style="26"/>
    <col min="771" max="771" width="18.7109375" style="26" customWidth="1"/>
    <col min="772" max="772" width="42.7109375" style="26" customWidth="1"/>
    <col min="773" max="773" width="7.7109375" style="26" customWidth="1"/>
    <col min="774" max="775" width="33.7109375" style="26" customWidth="1"/>
    <col min="776" max="776" width="23.140625" style="26" bestFit="1" customWidth="1"/>
    <col min="777" max="777" width="69" style="26" bestFit="1" customWidth="1"/>
    <col min="778" max="1026" width="9.5703125" style="26"/>
    <col min="1027" max="1027" width="18.7109375" style="26" customWidth="1"/>
    <col min="1028" max="1028" width="42.7109375" style="26" customWidth="1"/>
    <col min="1029" max="1029" width="7.7109375" style="26" customWidth="1"/>
    <col min="1030" max="1031" width="33.7109375" style="26" customWidth="1"/>
    <col min="1032" max="1032" width="23.140625" style="26" bestFit="1" customWidth="1"/>
    <col min="1033" max="1033" width="69" style="26" bestFit="1" customWidth="1"/>
    <col min="1034" max="1282" width="9.5703125" style="26"/>
    <col min="1283" max="1283" width="18.7109375" style="26" customWidth="1"/>
    <col min="1284" max="1284" width="42.7109375" style="26" customWidth="1"/>
    <col min="1285" max="1285" width="7.7109375" style="26" customWidth="1"/>
    <col min="1286" max="1287" width="33.7109375" style="26" customWidth="1"/>
    <col min="1288" max="1288" width="23.140625" style="26" bestFit="1" customWidth="1"/>
    <col min="1289" max="1289" width="69" style="26" bestFit="1" customWidth="1"/>
    <col min="1290" max="1538" width="9.5703125" style="26"/>
    <col min="1539" max="1539" width="18.7109375" style="26" customWidth="1"/>
    <col min="1540" max="1540" width="42.7109375" style="26" customWidth="1"/>
    <col min="1541" max="1541" width="7.7109375" style="26" customWidth="1"/>
    <col min="1542" max="1543" width="33.7109375" style="26" customWidth="1"/>
    <col min="1544" max="1544" width="23.140625" style="26" bestFit="1" customWidth="1"/>
    <col min="1545" max="1545" width="69" style="26" bestFit="1" customWidth="1"/>
    <col min="1546" max="1794" width="9.5703125" style="26"/>
    <col min="1795" max="1795" width="18.7109375" style="26" customWidth="1"/>
    <col min="1796" max="1796" width="42.7109375" style="26" customWidth="1"/>
    <col min="1797" max="1797" width="7.7109375" style="26" customWidth="1"/>
    <col min="1798" max="1799" width="33.7109375" style="26" customWidth="1"/>
    <col min="1800" max="1800" width="23.140625" style="26" bestFit="1" customWidth="1"/>
    <col min="1801" max="1801" width="69" style="26" bestFit="1" customWidth="1"/>
    <col min="1802" max="2050" width="9.5703125" style="26"/>
    <col min="2051" max="2051" width="18.7109375" style="26" customWidth="1"/>
    <col min="2052" max="2052" width="42.7109375" style="26" customWidth="1"/>
    <col min="2053" max="2053" width="7.7109375" style="26" customWidth="1"/>
    <col min="2054" max="2055" width="33.7109375" style="26" customWidth="1"/>
    <col min="2056" max="2056" width="23.140625" style="26" bestFit="1" customWidth="1"/>
    <col min="2057" max="2057" width="69" style="26" bestFit="1" customWidth="1"/>
    <col min="2058" max="2306" width="9.5703125" style="26"/>
    <col min="2307" max="2307" width="18.7109375" style="26" customWidth="1"/>
    <col min="2308" max="2308" width="42.7109375" style="26" customWidth="1"/>
    <col min="2309" max="2309" width="7.7109375" style="26" customWidth="1"/>
    <col min="2310" max="2311" width="33.7109375" style="26" customWidth="1"/>
    <col min="2312" max="2312" width="23.140625" style="26" bestFit="1" customWidth="1"/>
    <col min="2313" max="2313" width="69" style="26" bestFit="1" customWidth="1"/>
    <col min="2314" max="2562" width="9.5703125" style="26"/>
    <col min="2563" max="2563" width="18.7109375" style="26" customWidth="1"/>
    <col min="2564" max="2564" width="42.7109375" style="26" customWidth="1"/>
    <col min="2565" max="2565" width="7.7109375" style="26" customWidth="1"/>
    <col min="2566" max="2567" width="33.7109375" style="26" customWidth="1"/>
    <col min="2568" max="2568" width="23.140625" style="26" bestFit="1" customWidth="1"/>
    <col min="2569" max="2569" width="69" style="26" bestFit="1" customWidth="1"/>
    <col min="2570" max="2818" width="9.5703125" style="26"/>
    <col min="2819" max="2819" width="18.7109375" style="26" customWidth="1"/>
    <col min="2820" max="2820" width="42.7109375" style="26" customWidth="1"/>
    <col min="2821" max="2821" width="7.7109375" style="26" customWidth="1"/>
    <col min="2822" max="2823" width="33.7109375" style="26" customWidth="1"/>
    <col min="2824" max="2824" width="23.140625" style="26" bestFit="1" customWidth="1"/>
    <col min="2825" max="2825" width="69" style="26" bestFit="1" customWidth="1"/>
    <col min="2826" max="3074" width="9.5703125" style="26"/>
    <col min="3075" max="3075" width="18.7109375" style="26" customWidth="1"/>
    <col min="3076" max="3076" width="42.7109375" style="26" customWidth="1"/>
    <col min="3077" max="3077" width="7.7109375" style="26" customWidth="1"/>
    <col min="3078" max="3079" width="33.7109375" style="26" customWidth="1"/>
    <col min="3080" max="3080" width="23.140625" style="26" bestFit="1" customWidth="1"/>
    <col min="3081" max="3081" width="69" style="26" bestFit="1" customWidth="1"/>
    <col min="3082" max="3330" width="9.5703125" style="26"/>
    <col min="3331" max="3331" width="18.7109375" style="26" customWidth="1"/>
    <col min="3332" max="3332" width="42.7109375" style="26" customWidth="1"/>
    <col min="3333" max="3333" width="7.7109375" style="26" customWidth="1"/>
    <col min="3334" max="3335" width="33.7109375" style="26" customWidth="1"/>
    <col min="3336" max="3336" width="23.140625" style="26" bestFit="1" customWidth="1"/>
    <col min="3337" max="3337" width="69" style="26" bestFit="1" customWidth="1"/>
    <col min="3338" max="3586" width="9.5703125" style="26"/>
    <col min="3587" max="3587" width="18.7109375" style="26" customWidth="1"/>
    <col min="3588" max="3588" width="42.7109375" style="26" customWidth="1"/>
    <col min="3589" max="3589" width="7.7109375" style="26" customWidth="1"/>
    <col min="3590" max="3591" width="33.7109375" style="26" customWidth="1"/>
    <col min="3592" max="3592" width="23.140625" style="26" bestFit="1" customWidth="1"/>
    <col min="3593" max="3593" width="69" style="26" bestFit="1" customWidth="1"/>
    <col min="3594" max="3842" width="9.5703125" style="26"/>
    <col min="3843" max="3843" width="18.7109375" style="26" customWidth="1"/>
    <col min="3844" max="3844" width="42.7109375" style="26" customWidth="1"/>
    <col min="3845" max="3845" width="7.7109375" style="26" customWidth="1"/>
    <col min="3846" max="3847" width="33.7109375" style="26" customWidth="1"/>
    <col min="3848" max="3848" width="23.140625" style="26" bestFit="1" customWidth="1"/>
    <col min="3849" max="3849" width="69" style="26" bestFit="1" customWidth="1"/>
    <col min="3850" max="4098" width="9.5703125" style="26"/>
    <col min="4099" max="4099" width="18.7109375" style="26" customWidth="1"/>
    <col min="4100" max="4100" width="42.7109375" style="26" customWidth="1"/>
    <col min="4101" max="4101" width="7.7109375" style="26" customWidth="1"/>
    <col min="4102" max="4103" width="33.7109375" style="26" customWidth="1"/>
    <col min="4104" max="4104" width="23.140625" style="26" bestFit="1" customWidth="1"/>
    <col min="4105" max="4105" width="69" style="26" bestFit="1" customWidth="1"/>
    <col min="4106" max="4354" width="9.5703125" style="26"/>
    <col min="4355" max="4355" width="18.7109375" style="26" customWidth="1"/>
    <col min="4356" max="4356" width="42.7109375" style="26" customWidth="1"/>
    <col min="4357" max="4357" width="7.7109375" style="26" customWidth="1"/>
    <col min="4358" max="4359" width="33.7109375" style="26" customWidth="1"/>
    <col min="4360" max="4360" width="23.140625" style="26" bestFit="1" customWidth="1"/>
    <col min="4361" max="4361" width="69" style="26" bestFit="1" customWidth="1"/>
    <col min="4362" max="4610" width="9.5703125" style="26"/>
    <col min="4611" max="4611" width="18.7109375" style="26" customWidth="1"/>
    <col min="4612" max="4612" width="42.7109375" style="26" customWidth="1"/>
    <col min="4613" max="4613" width="7.7109375" style="26" customWidth="1"/>
    <col min="4614" max="4615" width="33.7109375" style="26" customWidth="1"/>
    <col min="4616" max="4616" width="23.140625" style="26" bestFit="1" customWidth="1"/>
    <col min="4617" max="4617" width="69" style="26" bestFit="1" customWidth="1"/>
    <col min="4618" max="4866" width="9.5703125" style="26"/>
    <col min="4867" max="4867" width="18.7109375" style="26" customWidth="1"/>
    <col min="4868" max="4868" width="42.7109375" style="26" customWidth="1"/>
    <col min="4869" max="4869" width="7.7109375" style="26" customWidth="1"/>
    <col min="4870" max="4871" width="33.7109375" style="26" customWidth="1"/>
    <col min="4872" max="4872" width="23.140625" style="26" bestFit="1" customWidth="1"/>
    <col min="4873" max="4873" width="69" style="26" bestFit="1" customWidth="1"/>
    <col min="4874" max="5122" width="9.5703125" style="26"/>
    <col min="5123" max="5123" width="18.7109375" style="26" customWidth="1"/>
    <col min="5124" max="5124" width="42.7109375" style="26" customWidth="1"/>
    <col min="5125" max="5125" width="7.7109375" style="26" customWidth="1"/>
    <col min="5126" max="5127" width="33.7109375" style="26" customWidth="1"/>
    <col min="5128" max="5128" width="23.140625" style="26" bestFit="1" customWidth="1"/>
    <col min="5129" max="5129" width="69" style="26" bestFit="1" customWidth="1"/>
    <col min="5130" max="5378" width="9.5703125" style="26"/>
    <col min="5379" max="5379" width="18.7109375" style="26" customWidth="1"/>
    <col min="5380" max="5380" width="42.7109375" style="26" customWidth="1"/>
    <col min="5381" max="5381" width="7.7109375" style="26" customWidth="1"/>
    <col min="5382" max="5383" width="33.7109375" style="26" customWidth="1"/>
    <col min="5384" max="5384" width="23.140625" style="26" bestFit="1" customWidth="1"/>
    <col min="5385" max="5385" width="69" style="26" bestFit="1" customWidth="1"/>
    <col min="5386" max="5634" width="9.5703125" style="26"/>
    <col min="5635" max="5635" width="18.7109375" style="26" customWidth="1"/>
    <col min="5636" max="5636" width="42.7109375" style="26" customWidth="1"/>
    <col min="5637" max="5637" width="7.7109375" style="26" customWidth="1"/>
    <col min="5638" max="5639" width="33.7109375" style="26" customWidth="1"/>
    <col min="5640" max="5640" width="23.140625" style="26" bestFit="1" customWidth="1"/>
    <col min="5641" max="5641" width="69" style="26" bestFit="1" customWidth="1"/>
    <col min="5642" max="5890" width="9.5703125" style="26"/>
    <col min="5891" max="5891" width="18.7109375" style="26" customWidth="1"/>
    <col min="5892" max="5892" width="42.7109375" style="26" customWidth="1"/>
    <col min="5893" max="5893" width="7.7109375" style="26" customWidth="1"/>
    <col min="5894" max="5895" width="33.7109375" style="26" customWidth="1"/>
    <col min="5896" max="5896" width="23.140625" style="26" bestFit="1" customWidth="1"/>
    <col min="5897" max="5897" width="69" style="26" bestFit="1" customWidth="1"/>
    <col min="5898" max="6146" width="9.5703125" style="26"/>
    <col min="6147" max="6147" width="18.7109375" style="26" customWidth="1"/>
    <col min="6148" max="6148" width="42.7109375" style="26" customWidth="1"/>
    <col min="6149" max="6149" width="7.7109375" style="26" customWidth="1"/>
    <col min="6150" max="6151" width="33.7109375" style="26" customWidth="1"/>
    <col min="6152" max="6152" width="23.140625" style="26" bestFit="1" customWidth="1"/>
    <col min="6153" max="6153" width="69" style="26" bestFit="1" customWidth="1"/>
    <col min="6154" max="6402" width="9.5703125" style="26"/>
    <col min="6403" max="6403" width="18.7109375" style="26" customWidth="1"/>
    <col min="6404" max="6404" width="42.7109375" style="26" customWidth="1"/>
    <col min="6405" max="6405" width="7.7109375" style="26" customWidth="1"/>
    <col min="6406" max="6407" width="33.7109375" style="26" customWidth="1"/>
    <col min="6408" max="6408" width="23.140625" style="26" bestFit="1" customWidth="1"/>
    <col min="6409" max="6409" width="69" style="26" bestFit="1" customWidth="1"/>
    <col min="6410" max="6658" width="9.5703125" style="26"/>
    <col min="6659" max="6659" width="18.7109375" style="26" customWidth="1"/>
    <col min="6660" max="6660" width="42.7109375" style="26" customWidth="1"/>
    <col min="6661" max="6661" width="7.7109375" style="26" customWidth="1"/>
    <col min="6662" max="6663" width="33.7109375" style="26" customWidth="1"/>
    <col min="6664" max="6664" width="23.140625" style="26" bestFit="1" customWidth="1"/>
    <col min="6665" max="6665" width="69" style="26" bestFit="1" customWidth="1"/>
    <col min="6666" max="6914" width="9.5703125" style="26"/>
    <col min="6915" max="6915" width="18.7109375" style="26" customWidth="1"/>
    <col min="6916" max="6916" width="42.7109375" style="26" customWidth="1"/>
    <col min="6917" max="6917" width="7.7109375" style="26" customWidth="1"/>
    <col min="6918" max="6919" width="33.7109375" style="26" customWidth="1"/>
    <col min="6920" max="6920" width="23.140625" style="26" bestFit="1" customWidth="1"/>
    <col min="6921" max="6921" width="69" style="26" bestFit="1" customWidth="1"/>
    <col min="6922" max="7170" width="9.5703125" style="26"/>
    <col min="7171" max="7171" width="18.7109375" style="26" customWidth="1"/>
    <col min="7172" max="7172" width="42.7109375" style="26" customWidth="1"/>
    <col min="7173" max="7173" width="7.7109375" style="26" customWidth="1"/>
    <col min="7174" max="7175" width="33.7109375" style="26" customWidth="1"/>
    <col min="7176" max="7176" width="23.140625" style="26" bestFit="1" customWidth="1"/>
    <col min="7177" max="7177" width="69" style="26" bestFit="1" customWidth="1"/>
    <col min="7178" max="7426" width="9.5703125" style="26"/>
    <col min="7427" max="7427" width="18.7109375" style="26" customWidth="1"/>
    <col min="7428" max="7428" width="42.7109375" style="26" customWidth="1"/>
    <col min="7429" max="7429" width="7.7109375" style="26" customWidth="1"/>
    <col min="7430" max="7431" width="33.7109375" style="26" customWidth="1"/>
    <col min="7432" max="7432" width="23.140625" style="26" bestFit="1" customWidth="1"/>
    <col min="7433" max="7433" width="69" style="26" bestFit="1" customWidth="1"/>
    <col min="7434" max="7682" width="9.5703125" style="26"/>
    <col min="7683" max="7683" width="18.7109375" style="26" customWidth="1"/>
    <col min="7684" max="7684" width="42.7109375" style="26" customWidth="1"/>
    <col min="7685" max="7685" width="7.7109375" style="26" customWidth="1"/>
    <col min="7686" max="7687" width="33.7109375" style="26" customWidth="1"/>
    <col min="7688" max="7688" width="23.140625" style="26" bestFit="1" customWidth="1"/>
    <col min="7689" max="7689" width="69" style="26" bestFit="1" customWidth="1"/>
    <col min="7690" max="7938" width="9.5703125" style="26"/>
    <col min="7939" max="7939" width="18.7109375" style="26" customWidth="1"/>
    <col min="7940" max="7940" width="42.7109375" style="26" customWidth="1"/>
    <col min="7941" max="7941" width="7.7109375" style="26" customWidth="1"/>
    <col min="7942" max="7943" width="33.7109375" style="26" customWidth="1"/>
    <col min="7944" max="7944" width="23.140625" style="26" bestFit="1" customWidth="1"/>
    <col min="7945" max="7945" width="69" style="26" bestFit="1" customWidth="1"/>
    <col min="7946" max="8194" width="9.5703125" style="26"/>
    <col min="8195" max="8195" width="18.7109375" style="26" customWidth="1"/>
    <col min="8196" max="8196" width="42.7109375" style="26" customWidth="1"/>
    <col min="8197" max="8197" width="7.7109375" style="26" customWidth="1"/>
    <col min="8198" max="8199" width="33.7109375" style="26" customWidth="1"/>
    <col min="8200" max="8200" width="23.140625" style="26" bestFit="1" customWidth="1"/>
    <col min="8201" max="8201" width="69" style="26" bestFit="1" customWidth="1"/>
    <col min="8202" max="8450" width="9.5703125" style="26"/>
    <col min="8451" max="8451" width="18.7109375" style="26" customWidth="1"/>
    <col min="8452" max="8452" width="42.7109375" style="26" customWidth="1"/>
    <col min="8453" max="8453" width="7.7109375" style="26" customWidth="1"/>
    <col min="8454" max="8455" width="33.7109375" style="26" customWidth="1"/>
    <col min="8456" max="8456" width="23.140625" style="26" bestFit="1" customWidth="1"/>
    <col min="8457" max="8457" width="69" style="26" bestFit="1" customWidth="1"/>
    <col min="8458" max="8706" width="9.5703125" style="26"/>
    <col min="8707" max="8707" width="18.7109375" style="26" customWidth="1"/>
    <col min="8708" max="8708" width="42.7109375" style="26" customWidth="1"/>
    <col min="8709" max="8709" width="7.7109375" style="26" customWidth="1"/>
    <col min="8710" max="8711" width="33.7109375" style="26" customWidth="1"/>
    <col min="8712" max="8712" width="23.140625" style="26" bestFit="1" customWidth="1"/>
    <col min="8713" max="8713" width="69" style="26" bestFit="1" customWidth="1"/>
    <col min="8714" max="8962" width="9.5703125" style="26"/>
    <col min="8963" max="8963" width="18.7109375" style="26" customWidth="1"/>
    <col min="8964" max="8964" width="42.7109375" style="26" customWidth="1"/>
    <col min="8965" max="8965" width="7.7109375" style="26" customWidth="1"/>
    <col min="8966" max="8967" width="33.7109375" style="26" customWidth="1"/>
    <col min="8968" max="8968" width="23.140625" style="26" bestFit="1" customWidth="1"/>
    <col min="8969" max="8969" width="69" style="26" bestFit="1" customWidth="1"/>
    <col min="8970" max="9218" width="9.5703125" style="26"/>
    <col min="9219" max="9219" width="18.7109375" style="26" customWidth="1"/>
    <col min="9220" max="9220" width="42.7109375" style="26" customWidth="1"/>
    <col min="9221" max="9221" width="7.7109375" style="26" customWidth="1"/>
    <col min="9222" max="9223" width="33.7109375" style="26" customWidth="1"/>
    <col min="9224" max="9224" width="23.140625" style="26" bestFit="1" customWidth="1"/>
    <col min="9225" max="9225" width="69" style="26" bestFit="1" customWidth="1"/>
    <col min="9226" max="9474" width="9.5703125" style="26"/>
    <col min="9475" max="9475" width="18.7109375" style="26" customWidth="1"/>
    <col min="9476" max="9476" width="42.7109375" style="26" customWidth="1"/>
    <col min="9477" max="9477" width="7.7109375" style="26" customWidth="1"/>
    <col min="9478" max="9479" width="33.7109375" style="26" customWidth="1"/>
    <col min="9480" max="9480" width="23.140625" style="26" bestFit="1" customWidth="1"/>
    <col min="9481" max="9481" width="69" style="26" bestFit="1" customWidth="1"/>
    <col min="9482" max="9730" width="9.5703125" style="26"/>
    <col min="9731" max="9731" width="18.7109375" style="26" customWidth="1"/>
    <col min="9732" max="9732" width="42.7109375" style="26" customWidth="1"/>
    <col min="9733" max="9733" width="7.7109375" style="26" customWidth="1"/>
    <col min="9734" max="9735" width="33.7109375" style="26" customWidth="1"/>
    <col min="9736" max="9736" width="23.140625" style="26" bestFit="1" customWidth="1"/>
    <col min="9737" max="9737" width="69" style="26" bestFit="1" customWidth="1"/>
    <col min="9738" max="9986" width="9.5703125" style="26"/>
    <col min="9987" max="9987" width="18.7109375" style="26" customWidth="1"/>
    <col min="9988" max="9988" width="42.7109375" style="26" customWidth="1"/>
    <col min="9989" max="9989" width="7.7109375" style="26" customWidth="1"/>
    <col min="9990" max="9991" width="33.7109375" style="26" customWidth="1"/>
    <col min="9992" max="9992" width="23.140625" style="26" bestFit="1" customWidth="1"/>
    <col min="9993" max="9993" width="69" style="26" bestFit="1" customWidth="1"/>
    <col min="9994" max="10242" width="9.5703125" style="26"/>
    <col min="10243" max="10243" width="18.7109375" style="26" customWidth="1"/>
    <col min="10244" max="10244" width="42.7109375" style="26" customWidth="1"/>
    <col min="10245" max="10245" width="7.7109375" style="26" customWidth="1"/>
    <col min="10246" max="10247" width="33.7109375" style="26" customWidth="1"/>
    <col min="10248" max="10248" width="23.140625" style="26" bestFit="1" customWidth="1"/>
    <col min="10249" max="10249" width="69" style="26" bestFit="1" customWidth="1"/>
    <col min="10250" max="10498" width="9.5703125" style="26"/>
    <col min="10499" max="10499" width="18.7109375" style="26" customWidth="1"/>
    <col min="10500" max="10500" width="42.7109375" style="26" customWidth="1"/>
    <col min="10501" max="10501" width="7.7109375" style="26" customWidth="1"/>
    <col min="10502" max="10503" width="33.7109375" style="26" customWidth="1"/>
    <col min="10504" max="10504" width="23.140625" style="26" bestFit="1" customWidth="1"/>
    <col min="10505" max="10505" width="69" style="26" bestFit="1" customWidth="1"/>
    <col min="10506" max="10754" width="9.5703125" style="26"/>
    <col min="10755" max="10755" width="18.7109375" style="26" customWidth="1"/>
    <col min="10756" max="10756" width="42.7109375" style="26" customWidth="1"/>
    <col min="10757" max="10757" width="7.7109375" style="26" customWidth="1"/>
    <col min="10758" max="10759" width="33.7109375" style="26" customWidth="1"/>
    <col min="10760" max="10760" width="23.140625" style="26" bestFit="1" customWidth="1"/>
    <col min="10761" max="10761" width="69" style="26" bestFit="1" customWidth="1"/>
    <col min="10762" max="11010" width="9.5703125" style="26"/>
    <col min="11011" max="11011" width="18.7109375" style="26" customWidth="1"/>
    <col min="11012" max="11012" width="42.7109375" style="26" customWidth="1"/>
    <col min="11013" max="11013" width="7.7109375" style="26" customWidth="1"/>
    <col min="11014" max="11015" width="33.7109375" style="26" customWidth="1"/>
    <col min="11016" max="11016" width="23.140625" style="26" bestFit="1" customWidth="1"/>
    <col min="11017" max="11017" width="69" style="26" bestFit="1" customWidth="1"/>
    <col min="11018" max="11266" width="9.5703125" style="26"/>
    <col min="11267" max="11267" width="18.7109375" style="26" customWidth="1"/>
    <col min="11268" max="11268" width="42.7109375" style="26" customWidth="1"/>
    <col min="11269" max="11269" width="7.7109375" style="26" customWidth="1"/>
    <col min="11270" max="11271" width="33.7109375" style="26" customWidth="1"/>
    <col min="11272" max="11272" width="23.140625" style="26" bestFit="1" customWidth="1"/>
    <col min="11273" max="11273" width="69" style="26" bestFit="1" customWidth="1"/>
    <col min="11274" max="11522" width="9.5703125" style="26"/>
    <col min="11523" max="11523" width="18.7109375" style="26" customWidth="1"/>
    <col min="11524" max="11524" width="42.7109375" style="26" customWidth="1"/>
    <col min="11525" max="11525" width="7.7109375" style="26" customWidth="1"/>
    <col min="11526" max="11527" width="33.7109375" style="26" customWidth="1"/>
    <col min="11528" max="11528" width="23.140625" style="26" bestFit="1" customWidth="1"/>
    <col min="11529" max="11529" width="69" style="26" bestFit="1" customWidth="1"/>
    <col min="11530" max="11778" width="9.5703125" style="26"/>
    <col min="11779" max="11779" width="18.7109375" style="26" customWidth="1"/>
    <col min="11780" max="11780" width="42.7109375" style="26" customWidth="1"/>
    <col min="11781" max="11781" width="7.7109375" style="26" customWidth="1"/>
    <col min="11782" max="11783" width="33.7109375" style="26" customWidth="1"/>
    <col min="11784" max="11784" width="23.140625" style="26" bestFit="1" customWidth="1"/>
    <col min="11785" max="11785" width="69" style="26" bestFit="1" customWidth="1"/>
    <col min="11786" max="12034" width="9.5703125" style="26"/>
    <col min="12035" max="12035" width="18.7109375" style="26" customWidth="1"/>
    <col min="12036" max="12036" width="42.7109375" style="26" customWidth="1"/>
    <col min="12037" max="12037" width="7.7109375" style="26" customWidth="1"/>
    <col min="12038" max="12039" width="33.7109375" style="26" customWidth="1"/>
    <col min="12040" max="12040" width="23.140625" style="26" bestFit="1" customWidth="1"/>
    <col min="12041" max="12041" width="69" style="26" bestFit="1" customWidth="1"/>
    <col min="12042" max="12290" width="9.5703125" style="26"/>
    <col min="12291" max="12291" width="18.7109375" style="26" customWidth="1"/>
    <col min="12292" max="12292" width="42.7109375" style="26" customWidth="1"/>
    <col min="12293" max="12293" width="7.7109375" style="26" customWidth="1"/>
    <col min="12294" max="12295" width="33.7109375" style="26" customWidth="1"/>
    <col min="12296" max="12296" width="23.140625" style="26" bestFit="1" customWidth="1"/>
    <col min="12297" max="12297" width="69" style="26" bestFit="1" customWidth="1"/>
    <col min="12298" max="12546" width="9.5703125" style="26"/>
    <col min="12547" max="12547" width="18.7109375" style="26" customWidth="1"/>
    <col min="12548" max="12548" width="42.7109375" style="26" customWidth="1"/>
    <col min="12549" max="12549" width="7.7109375" style="26" customWidth="1"/>
    <col min="12550" max="12551" width="33.7109375" style="26" customWidth="1"/>
    <col min="12552" max="12552" width="23.140625" style="26" bestFit="1" customWidth="1"/>
    <col min="12553" max="12553" width="69" style="26" bestFit="1" customWidth="1"/>
    <col min="12554" max="12802" width="9.5703125" style="26"/>
    <col min="12803" max="12803" width="18.7109375" style="26" customWidth="1"/>
    <col min="12804" max="12804" width="42.7109375" style="26" customWidth="1"/>
    <col min="12805" max="12805" width="7.7109375" style="26" customWidth="1"/>
    <col min="12806" max="12807" width="33.7109375" style="26" customWidth="1"/>
    <col min="12808" max="12808" width="23.140625" style="26" bestFit="1" customWidth="1"/>
    <col min="12809" max="12809" width="69" style="26" bestFit="1" customWidth="1"/>
    <col min="12810" max="13058" width="9.5703125" style="26"/>
    <col min="13059" max="13059" width="18.7109375" style="26" customWidth="1"/>
    <col min="13060" max="13060" width="42.7109375" style="26" customWidth="1"/>
    <col min="13061" max="13061" width="7.7109375" style="26" customWidth="1"/>
    <col min="13062" max="13063" width="33.7109375" style="26" customWidth="1"/>
    <col min="13064" max="13064" width="23.140625" style="26" bestFit="1" customWidth="1"/>
    <col min="13065" max="13065" width="69" style="26" bestFit="1" customWidth="1"/>
    <col min="13066" max="13314" width="9.5703125" style="26"/>
    <col min="13315" max="13315" width="18.7109375" style="26" customWidth="1"/>
    <col min="13316" max="13316" width="42.7109375" style="26" customWidth="1"/>
    <col min="13317" max="13317" width="7.7109375" style="26" customWidth="1"/>
    <col min="13318" max="13319" width="33.7109375" style="26" customWidth="1"/>
    <col min="13320" max="13320" width="23.140625" style="26" bestFit="1" customWidth="1"/>
    <col min="13321" max="13321" width="69" style="26" bestFit="1" customWidth="1"/>
    <col min="13322" max="13570" width="9.5703125" style="26"/>
    <col min="13571" max="13571" width="18.7109375" style="26" customWidth="1"/>
    <col min="13572" max="13572" width="42.7109375" style="26" customWidth="1"/>
    <col min="13573" max="13573" width="7.7109375" style="26" customWidth="1"/>
    <col min="13574" max="13575" width="33.7109375" style="26" customWidth="1"/>
    <col min="13576" max="13576" width="23.140625" style="26" bestFit="1" customWidth="1"/>
    <col min="13577" max="13577" width="69" style="26" bestFit="1" customWidth="1"/>
    <col min="13578" max="13826" width="9.5703125" style="26"/>
    <col min="13827" max="13827" width="18.7109375" style="26" customWidth="1"/>
    <col min="13828" max="13828" width="42.7109375" style="26" customWidth="1"/>
    <col min="13829" max="13829" width="7.7109375" style="26" customWidth="1"/>
    <col min="13830" max="13831" width="33.7109375" style="26" customWidth="1"/>
    <col min="13832" max="13832" width="23.140625" style="26" bestFit="1" customWidth="1"/>
    <col min="13833" max="13833" width="69" style="26" bestFit="1" customWidth="1"/>
    <col min="13834" max="14082" width="9.5703125" style="26"/>
    <col min="14083" max="14083" width="18.7109375" style="26" customWidth="1"/>
    <col min="14084" max="14084" width="42.7109375" style="26" customWidth="1"/>
    <col min="14085" max="14085" width="7.7109375" style="26" customWidth="1"/>
    <col min="14086" max="14087" width="33.7109375" style="26" customWidth="1"/>
    <col min="14088" max="14088" width="23.140625" style="26" bestFit="1" customWidth="1"/>
    <col min="14089" max="14089" width="69" style="26" bestFit="1" customWidth="1"/>
    <col min="14090" max="14338" width="9.5703125" style="26"/>
    <col min="14339" max="14339" width="18.7109375" style="26" customWidth="1"/>
    <col min="14340" max="14340" width="42.7109375" style="26" customWidth="1"/>
    <col min="14341" max="14341" width="7.7109375" style="26" customWidth="1"/>
    <col min="14342" max="14343" width="33.7109375" style="26" customWidth="1"/>
    <col min="14344" max="14344" width="23.140625" style="26" bestFit="1" customWidth="1"/>
    <col min="14345" max="14345" width="69" style="26" bestFit="1" customWidth="1"/>
    <col min="14346" max="14594" width="9.5703125" style="26"/>
    <col min="14595" max="14595" width="18.7109375" style="26" customWidth="1"/>
    <col min="14596" max="14596" width="42.7109375" style="26" customWidth="1"/>
    <col min="14597" max="14597" width="7.7109375" style="26" customWidth="1"/>
    <col min="14598" max="14599" width="33.7109375" style="26" customWidth="1"/>
    <col min="14600" max="14600" width="23.140625" style="26" bestFit="1" customWidth="1"/>
    <col min="14601" max="14601" width="69" style="26" bestFit="1" customWidth="1"/>
    <col min="14602" max="14850" width="9.5703125" style="26"/>
    <col min="14851" max="14851" width="18.7109375" style="26" customWidth="1"/>
    <col min="14852" max="14852" width="42.7109375" style="26" customWidth="1"/>
    <col min="14853" max="14853" width="7.7109375" style="26" customWidth="1"/>
    <col min="14854" max="14855" width="33.7109375" style="26" customWidth="1"/>
    <col min="14856" max="14856" width="23.140625" style="26" bestFit="1" customWidth="1"/>
    <col min="14857" max="14857" width="69" style="26" bestFit="1" customWidth="1"/>
    <col min="14858" max="15106" width="9.5703125" style="26"/>
    <col min="15107" max="15107" width="18.7109375" style="26" customWidth="1"/>
    <col min="15108" max="15108" width="42.7109375" style="26" customWidth="1"/>
    <col min="15109" max="15109" width="7.7109375" style="26" customWidth="1"/>
    <col min="15110" max="15111" width="33.7109375" style="26" customWidth="1"/>
    <col min="15112" max="15112" width="23.140625" style="26" bestFit="1" customWidth="1"/>
    <col min="15113" max="15113" width="69" style="26" bestFit="1" customWidth="1"/>
    <col min="15114" max="15362" width="9.5703125" style="26"/>
    <col min="15363" max="15363" width="18.7109375" style="26" customWidth="1"/>
    <col min="15364" max="15364" width="42.7109375" style="26" customWidth="1"/>
    <col min="15365" max="15365" width="7.7109375" style="26" customWidth="1"/>
    <col min="15366" max="15367" width="33.7109375" style="26" customWidth="1"/>
    <col min="15368" max="15368" width="23.140625" style="26" bestFit="1" customWidth="1"/>
    <col min="15369" max="15369" width="69" style="26" bestFit="1" customWidth="1"/>
    <col min="15370" max="15618" width="9.5703125" style="26"/>
    <col min="15619" max="15619" width="18.7109375" style="26" customWidth="1"/>
    <col min="15620" max="15620" width="42.7109375" style="26" customWidth="1"/>
    <col min="15621" max="15621" width="7.7109375" style="26" customWidth="1"/>
    <col min="15622" max="15623" width="33.7109375" style="26" customWidth="1"/>
    <col min="15624" max="15624" width="23.140625" style="26" bestFit="1" customWidth="1"/>
    <col min="15625" max="15625" width="69" style="26" bestFit="1" customWidth="1"/>
    <col min="15626" max="15874" width="9.5703125" style="26"/>
    <col min="15875" max="15875" width="18.7109375" style="26" customWidth="1"/>
    <col min="15876" max="15876" width="42.7109375" style="26" customWidth="1"/>
    <col min="15877" max="15877" width="7.7109375" style="26" customWidth="1"/>
    <col min="15878" max="15879" width="33.7109375" style="26" customWidth="1"/>
    <col min="15880" max="15880" width="23.140625" style="26" bestFit="1" customWidth="1"/>
    <col min="15881" max="15881" width="69" style="26" bestFit="1" customWidth="1"/>
    <col min="15882" max="16130" width="9.5703125" style="26"/>
    <col min="16131" max="16131" width="18.7109375" style="26" customWidth="1"/>
    <col min="16132" max="16132" width="42.7109375" style="26" customWidth="1"/>
    <col min="16133" max="16133" width="7.7109375" style="26" customWidth="1"/>
    <col min="16134" max="16135" width="33.7109375" style="26" customWidth="1"/>
    <col min="16136" max="16136" width="23.140625" style="26" bestFit="1" customWidth="1"/>
    <col min="16137" max="16137" width="69" style="26" bestFit="1" customWidth="1"/>
    <col min="16138" max="16384" width="9.5703125" style="26"/>
  </cols>
  <sheetData>
    <row r="1" spans="1:18">
      <c r="A1" s="35"/>
      <c r="B1" s="35"/>
      <c r="C1" s="35"/>
    </row>
    <row r="2" spans="1:18" ht="15.75">
      <c r="A2" s="36" t="s">
        <v>113</v>
      </c>
      <c r="B2" s="35"/>
      <c r="C2" s="35"/>
    </row>
    <row r="3" spans="1:18" ht="15.75">
      <c r="A3" s="27" t="s">
        <v>114</v>
      </c>
      <c r="G3" s="37" t="s">
        <v>195</v>
      </c>
      <c r="H3" s="37"/>
      <c r="I3" s="37"/>
      <c r="J3" s="37"/>
      <c r="K3" s="37"/>
      <c r="L3" s="37"/>
      <c r="M3" s="37" t="s">
        <v>198</v>
      </c>
      <c r="N3" s="37"/>
      <c r="O3" s="37"/>
      <c r="P3" s="37"/>
      <c r="Q3" s="37"/>
      <c r="R3" s="37"/>
    </row>
    <row r="4" spans="1:18" ht="13.5">
      <c r="A4" s="28" t="s">
        <v>10</v>
      </c>
      <c r="B4" s="28" t="s">
        <v>11</v>
      </c>
      <c r="C4" s="28" t="s">
        <v>12</v>
      </c>
      <c r="D4" s="28" t="s">
        <v>13</v>
      </c>
      <c r="E4" s="28" t="s">
        <v>14</v>
      </c>
      <c r="F4" s="28" t="s">
        <v>115</v>
      </c>
      <c r="G4" s="38" t="s">
        <v>201</v>
      </c>
      <c r="H4" s="39" t="s">
        <v>199</v>
      </c>
      <c r="I4" s="39" t="s">
        <v>200</v>
      </c>
      <c r="J4" s="39" t="s">
        <v>197</v>
      </c>
      <c r="K4" s="39" t="s">
        <v>196</v>
      </c>
      <c r="L4" s="39" t="s">
        <v>204</v>
      </c>
      <c r="M4" s="38" t="s">
        <v>202</v>
      </c>
      <c r="N4" s="39" t="s">
        <v>199</v>
      </c>
      <c r="O4" s="39" t="s">
        <v>200</v>
      </c>
      <c r="P4" s="39" t="s">
        <v>203</v>
      </c>
      <c r="Q4" s="39" t="s">
        <v>196</v>
      </c>
      <c r="R4" s="39" t="s">
        <v>204</v>
      </c>
    </row>
    <row r="5" spans="1:18">
      <c r="A5" s="29" t="s">
        <v>116</v>
      </c>
      <c r="B5" s="30" t="s">
        <v>20</v>
      </c>
      <c r="C5" s="26">
        <v>1</v>
      </c>
      <c r="D5" s="26" t="s">
        <v>117</v>
      </c>
      <c r="E5" s="26" t="s">
        <v>118</v>
      </c>
      <c r="F5" s="26" t="s">
        <v>116</v>
      </c>
    </row>
    <row r="6" spans="1:18">
      <c r="A6" s="29" t="s">
        <v>119</v>
      </c>
      <c r="B6" s="30" t="s">
        <v>120</v>
      </c>
      <c r="C6" s="26">
        <v>1</v>
      </c>
      <c r="D6" s="26" t="s">
        <v>121</v>
      </c>
      <c r="E6" s="26" t="s">
        <v>122</v>
      </c>
      <c r="F6" s="26" t="s">
        <v>119</v>
      </c>
    </row>
    <row r="7" spans="1:18">
      <c r="A7" s="29"/>
      <c r="D7" s="26" t="s">
        <v>121</v>
      </c>
      <c r="E7" s="26" t="s">
        <v>123</v>
      </c>
      <c r="F7" s="26" t="s">
        <v>119</v>
      </c>
    </row>
    <row r="8" spans="1:18">
      <c r="A8" s="29"/>
      <c r="D8" s="26" t="s">
        <v>124</v>
      </c>
      <c r="E8" s="26" t="s">
        <v>125</v>
      </c>
      <c r="F8" s="26" t="s">
        <v>119</v>
      </c>
    </row>
    <row r="9" spans="1:18">
      <c r="A9" s="29"/>
      <c r="D9" s="26" t="s">
        <v>126</v>
      </c>
      <c r="E9" s="26" t="s">
        <v>127</v>
      </c>
      <c r="F9" s="26" t="s">
        <v>119</v>
      </c>
    </row>
    <row r="10" spans="1:18">
      <c r="A10" s="29"/>
      <c r="D10" s="26" t="s">
        <v>128</v>
      </c>
      <c r="E10" s="26" t="s">
        <v>129</v>
      </c>
      <c r="F10" s="26" t="s">
        <v>119</v>
      </c>
    </row>
    <row r="11" spans="1:18">
      <c r="A11" s="29"/>
      <c r="D11" s="26" t="s">
        <v>130</v>
      </c>
      <c r="E11" s="26" t="s">
        <v>131</v>
      </c>
      <c r="F11" s="26" t="s">
        <v>119</v>
      </c>
    </row>
    <row r="12" spans="1:18">
      <c r="A12" s="29" t="s">
        <v>132</v>
      </c>
      <c r="B12" s="30" t="s">
        <v>38</v>
      </c>
      <c r="C12" s="26">
        <v>1</v>
      </c>
      <c r="D12" s="26" t="s">
        <v>124</v>
      </c>
      <c r="E12" s="26" t="s">
        <v>133</v>
      </c>
      <c r="F12" s="26" t="s">
        <v>132</v>
      </c>
    </row>
    <row r="13" spans="1:18">
      <c r="A13" s="29"/>
      <c r="D13" s="26" t="s">
        <v>126</v>
      </c>
      <c r="E13" s="26" t="s">
        <v>134</v>
      </c>
      <c r="F13" s="26" t="s">
        <v>132</v>
      </c>
    </row>
    <row r="14" spans="1:18">
      <c r="A14" s="29"/>
      <c r="D14" s="26" t="s">
        <v>135</v>
      </c>
      <c r="E14" s="26" t="s">
        <v>136</v>
      </c>
      <c r="F14" s="26" t="s">
        <v>132</v>
      </c>
    </row>
    <row r="15" spans="1:18">
      <c r="A15" s="29"/>
      <c r="D15" s="26" t="s">
        <v>130</v>
      </c>
      <c r="E15" s="26" t="s">
        <v>137</v>
      </c>
      <c r="F15" s="26" t="s">
        <v>132</v>
      </c>
    </row>
    <row r="16" spans="1:18">
      <c r="A16" s="29"/>
      <c r="D16" s="26" t="s">
        <v>130</v>
      </c>
      <c r="E16" s="26" t="s">
        <v>138</v>
      </c>
      <c r="F16" s="26" t="s">
        <v>132</v>
      </c>
    </row>
    <row r="17" spans="1:6">
      <c r="A17" s="29"/>
      <c r="D17" s="26" t="s">
        <v>139</v>
      </c>
      <c r="E17" s="26" t="s">
        <v>140</v>
      </c>
      <c r="F17" s="26" t="s">
        <v>132</v>
      </c>
    </row>
    <row r="18" spans="1:6">
      <c r="A18" s="29" t="s">
        <v>141</v>
      </c>
      <c r="B18" s="30" t="s">
        <v>48</v>
      </c>
      <c r="C18" s="26">
        <v>2</v>
      </c>
      <c r="D18" s="26" t="s">
        <v>142</v>
      </c>
      <c r="E18" s="26" t="s">
        <v>143</v>
      </c>
      <c r="F18" s="26" t="s">
        <v>141</v>
      </c>
    </row>
    <row r="19" spans="1:6">
      <c r="A19" s="29"/>
      <c r="D19" s="26" t="s">
        <v>144</v>
      </c>
      <c r="E19" s="26" t="s">
        <v>145</v>
      </c>
      <c r="F19" s="26" t="s">
        <v>141</v>
      </c>
    </row>
    <row r="20" spans="1:6">
      <c r="A20" s="29"/>
      <c r="D20" s="26" t="s">
        <v>124</v>
      </c>
      <c r="E20" s="26" t="s">
        <v>146</v>
      </c>
      <c r="F20" s="26" t="s">
        <v>141</v>
      </c>
    </row>
    <row r="21" spans="1:6">
      <c r="A21" s="29"/>
      <c r="D21" s="26" t="s">
        <v>124</v>
      </c>
      <c r="E21" s="26" t="s">
        <v>147</v>
      </c>
      <c r="F21" s="26" t="s">
        <v>141</v>
      </c>
    </row>
    <row r="22" spans="1:6">
      <c r="A22" s="29"/>
      <c r="D22" s="26" t="s">
        <v>126</v>
      </c>
      <c r="E22" s="26" t="s">
        <v>148</v>
      </c>
      <c r="F22" s="26" t="s">
        <v>141</v>
      </c>
    </row>
    <row r="23" spans="1:6">
      <c r="A23" s="29"/>
      <c r="D23" s="26" t="s">
        <v>128</v>
      </c>
      <c r="E23" s="26" t="s">
        <v>149</v>
      </c>
      <c r="F23" s="26" t="s">
        <v>141</v>
      </c>
    </row>
    <row r="24" spans="1:6">
      <c r="A24" s="29" t="s">
        <v>150</v>
      </c>
      <c r="B24" s="30" t="s">
        <v>151</v>
      </c>
      <c r="C24" s="26">
        <v>4</v>
      </c>
      <c r="D24" s="26" t="s">
        <v>152</v>
      </c>
      <c r="E24" s="26" t="s">
        <v>153</v>
      </c>
      <c r="F24" s="26" t="s">
        <v>150</v>
      </c>
    </row>
    <row r="25" spans="1:6">
      <c r="A25" s="29"/>
      <c r="D25" s="26" t="s">
        <v>152</v>
      </c>
      <c r="E25" s="26" t="s">
        <v>154</v>
      </c>
      <c r="F25" s="26" t="s">
        <v>150</v>
      </c>
    </row>
    <row r="26" spans="1:6">
      <c r="A26" s="29" t="s">
        <v>155</v>
      </c>
      <c r="B26" s="30" t="s">
        <v>156</v>
      </c>
      <c r="C26" s="26">
        <v>2</v>
      </c>
      <c r="D26" s="26" t="s">
        <v>157</v>
      </c>
      <c r="E26" s="26" t="s">
        <v>158</v>
      </c>
      <c r="F26" s="26" t="s">
        <v>155</v>
      </c>
    </row>
    <row r="27" spans="1:6">
      <c r="A27" s="29"/>
      <c r="D27" s="26" t="s">
        <v>157</v>
      </c>
      <c r="E27" s="26" t="s">
        <v>159</v>
      </c>
      <c r="F27" s="26" t="s">
        <v>155</v>
      </c>
    </row>
    <row r="28" spans="1:6">
      <c r="A28" s="29"/>
      <c r="D28" s="26" t="s">
        <v>157</v>
      </c>
      <c r="E28" s="26" t="s">
        <v>160</v>
      </c>
      <c r="F28" s="26" t="s">
        <v>155</v>
      </c>
    </row>
    <row r="29" spans="1:6">
      <c r="A29" s="29" t="s">
        <v>161</v>
      </c>
      <c r="B29" s="30" t="s">
        <v>69</v>
      </c>
      <c r="C29" s="26">
        <v>48</v>
      </c>
      <c r="D29" s="26" t="s">
        <v>162</v>
      </c>
      <c r="E29" s="26" t="s">
        <v>163</v>
      </c>
      <c r="F29" s="26" t="s">
        <v>161</v>
      </c>
    </row>
    <row r="30" spans="1:6">
      <c r="A30" s="29"/>
      <c r="D30" s="26" t="s">
        <v>164</v>
      </c>
      <c r="E30" s="26" t="s">
        <v>165</v>
      </c>
      <c r="F30" s="26" t="s">
        <v>161</v>
      </c>
    </row>
    <row r="31" spans="1:6">
      <c r="A31" s="29" t="s">
        <v>166</v>
      </c>
      <c r="B31" s="30" t="s">
        <v>75</v>
      </c>
      <c r="C31" s="26">
        <v>1</v>
      </c>
      <c r="D31" s="26" t="s">
        <v>167</v>
      </c>
      <c r="E31" s="26" t="s">
        <v>168</v>
      </c>
      <c r="F31" s="26" t="s">
        <v>166</v>
      </c>
    </row>
    <row r="32" spans="1:6">
      <c r="A32" s="29"/>
      <c r="D32" s="26" t="s">
        <v>167</v>
      </c>
      <c r="E32" s="26" t="s">
        <v>169</v>
      </c>
      <c r="F32" s="26" t="s">
        <v>166</v>
      </c>
    </row>
    <row r="33" spans="1:6">
      <c r="A33" s="29" t="s">
        <v>170</v>
      </c>
      <c r="B33" s="30" t="s">
        <v>171</v>
      </c>
      <c r="C33" s="26">
        <v>1</v>
      </c>
      <c r="D33" s="26" t="s">
        <v>162</v>
      </c>
      <c r="E33" s="26" t="s">
        <v>172</v>
      </c>
      <c r="F33" s="26" t="s">
        <v>170</v>
      </c>
    </row>
    <row r="34" spans="1:6">
      <c r="A34" s="29" t="s">
        <v>173</v>
      </c>
      <c r="B34" s="30" t="s">
        <v>83</v>
      </c>
      <c r="C34" s="26">
        <v>1</v>
      </c>
      <c r="D34" s="26" t="s">
        <v>167</v>
      </c>
      <c r="E34" s="26" t="s">
        <v>174</v>
      </c>
      <c r="F34" s="26" t="s">
        <v>173</v>
      </c>
    </row>
    <row r="35" spans="1:6">
      <c r="A35" s="29" t="s">
        <v>175</v>
      </c>
      <c r="B35" s="30" t="s">
        <v>86</v>
      </c>
      <c r="C35" s="26">
        <v>5</v>
      </c>
      <c r="D35" s="26" t="s">
        <v>167</v>
      </c>
      <c r="E35" s="26" t="s">
        <v>176</v>
      </c>
      <c r="F35" s="26" t="s">
        <v>175</v>
      </c>
    </row>
    <row r="36" spans="1:6">
      <c r="A36" s="29"/>
      <c r="D36" s="26" t="s">
        <v>167</v>
      </c>
      <c r="E36" s="26" t="s">
        <v>177</v>
      </c>
      <c r="F36" s="26" t="s">
        <v>175</v>
      </c>
    </row>
    <row r="37" spans="1:6">
      <c r="A37" s="29"/>
      <c r="D37" s="26" t="s">
        <v>167</v>
      </c>
      <c r="E37" s="26" t="s">
        <v>178</v>
      </c>
      <c r="F37" s="26" t="s">
        <v>175</v>
      </c>
    </row>
    <row r="38" spans="1:6">
      <c r="A38" s="29"/>
      <c r="D38" s="26" t="s">
        <v>167</v>
      </c>
      <c r="E38" s="26" t="s">
        <v>179</v>
      </c>
      <c r="F38" s="26" t="s">
        <v>175</v>
      </c>
    </row>
    <row r="39" spans="1:6">
      <c r="A39" s="29"/>
      <c r="D39" s="26" t="s">
        <v>180</v>
      </c>
      <c r="E39" s="26" t="s">
        <v>181</v>
      </c>
      <c r="F39" s="26" t="s">
        <v>175</v>
      </c>
    </row>
    <row r="40" spans="1:6">
      <c r="A40" s="29" t="s">
        <v>182</v>
      </c>
      <c r="B40" s="30" t="s">
        <v>94</v>
      </c>
      <c r="C40" s="26">
        <v>1</v>
      </c>
      <c r="D40" s="26" t="s">
        <v>167</v>
      </c>
      <c r="E40" s="26" t="s">
        <v>183</v>
      </c>
      <c r="F40" s="26" t="s">
        <v>182</v>
      </c>
    </row>
    <row r="41" spans="1:6">
      <c r="A41" s="29" t="s">
        <v>184</v>
      </c>
      <c r="B41" s="30" t="s">
        <v>97</v>
      </c>
      <c r="C41" s="26">
        <v>1</v>
      </c>
      <c r="D41" s="26" t="s">
        <v>185</v>
      </c>
      <c r="E41" s="26" t="s">
        <v>186</v>
      </c>
      <c r="F41" s="26" t="s">
        <v>184</v>
      </c>
    </row>
    <row r="42" spans="1:6">
      <c r="A42" s="29"/>
      <c r="D42" s="26" t="s">
        <v>185</v>
      </c>
      <c r="E42" s="26" t="s">
        <v>187</v>
      </c>
      <c r="F42" s="26" t="s">
        <v>184</v>
      </c>
    </row>
    <row r="43" spans="1:6">
      <c r="A43" s="29" t="s">
        <v>188</v>
      </c>
      <c r="B43" s="30" t="s">
        <v>189</v>
      </c>
      <c r="C43" s="26">
        <v>1</v>
      </c>
      <c r="D43" s="26" t="s">
        <v>190</v>
      </c>
      <c r="E43" s="26" t="s">
        <v>191</v>
      </c>
      <c r="F43" s="26" t="s">
        <v>188</v>
      </c>
    </row>
    <row r="44" spans="1:6">
      <c r="A44" s="29" t="s">
        <v>192</v>
      </c>
      <c r="B44" s="30" t="s">
        <v>106</v>
      </c>
      <c r="C44" s="26">
        <v>1</v>
      </c>
      <c r="D44" s="26" t="s">
        <v>193</v>
      </c>
      <c r="E44" s="26" t="s">
        <v>194</v>
      </c>
      <c r="F44" s="26" t="s">
        <v>192</v>
      </c>
    </row>
  </sheetData>
  <mergeCells count="4">
    <mergeCell ref="A1:C1"/>
    <mergeCell ref="A2:C2"/>
    <mergeCell ref="G3:L3"/>
    <mergeCell ref="M3:R3"/>
  </mergeCells>
  <phoneticPr fontId="1" type="noConversion"/>
  <printOptions gridLines="1"/>
  <pageMargins left="0.75" right="0.75" top="0.75" bottom="0.75" header="0.5" footer="0.5"/>
  <pageSetup paperSize="17" orientation="landscape" horizontalDpi="300" verticalDpi="300" r:id="rId1"/>
  <headerFooter alignWithMargins="0">
    <oddFooter>&amp;L&amp;P of &amp;N&amp;C&amp;F&amp;R&amp;D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C4A0-02D4-490F-ACC5-D9B259EAE884}">
  <sheetPr filterMode="1">
    <tabColor theme="0" tint="-0.34998626667073579"/>
  </sheetPr>
  <dimension ref="A1:CJ48"/>
  <sheetViews>
    <sheetView workbookViewId="0">
      <selection activeCell="F21" sqref="F21"/>
    </sheetView>
  </sheetViews>
  <sheetFormatPr defaultRowHeight="15.75"/>
  <cols>
    <col min="1" max="1" width="24.28515625" customWidth="1"/>
    <col min="2" max="2" width="19" style="1" customWidth="1"/>
    <col min="3" max="3" width="5.42578125" customWidth="1"/>
    <col min="4" max="4" width="27.28515625" customWidth="1"/>
    <col min="5" max="5" width="30.42578125" customWidth="1"/>
    <col min="6" max="6" width="11.7109375" customWidth="1"/>
    <col min="7" max="7" width="12.7109375" customWidth="1"/>
  </cols>
  <sheetData>
    <row r="1" spans="1:88">
      <c r="K1" s="2"/>
    </row>
    <row r="2" spans="1:88">
      <c r="F2" s="3" t="s">
        <v>0</v>
      </c>
      <c r="G2" s="4">
        <v>0.22</v>
      </c>
      <c r="H2" s="5"/>
      <c r="I2" s="6" t="s">
        <v>1</v>
      </c>
      <c r="J2" s="7" t="s">
        <v>2</v>
      </c>
      <c r="K2" s="2"/>
    </row>
    <row r="3" spans="1:88">
      <c r="F3" s="3" t="s">
        <v>3</v>
      </c>
      <c r="G3" s="4">
        <v>32</v>
      </c>
      <c r="H3" s="5"/>
      <c r="I3" s="6" t="s">
        <v>4</v>
      </c>
      <c r="J3" s="7" t="s">
        <v>2</v>
      </c>
      <c r="K3" s="2"/>
    </row>
    <row r="4" spans="1:88">
      <c r="A4" s="31"/>
      <c r="B4" s="32"/>
      <c r="C4" s="31"/>
      <c r="D4" s="10"/>
      <c r="E4" s="10"/>
      <c r="F4" s="3" t="s">
        <v>5</v>
      </c>
      <c r="G4" s="4">
        <v>4.5</v>
      </c>
      <c r="H4" s="5"/>
      <c r="I4" s="6" t="s">
        <v>6</v>
      </c>
      <c r="J4" s="7" t="s">
        <v>2</v>
      </c>
      <c r="K4" s="2"/>
    </row>
    <row r="5" spans="1:88" ht="15.75" customHeight="1">
      <c r="A5" s="33" t="s">
        <v>7</v>
      </c>
      <c r="B5" s="34"/>
      <c r="C5" s="33"/>
      <c r="D5" s="10"/>
      <c r="E5" s="10"/>
      <c r="F5" s="5"/>
      <c r="G5" s="5"/>
      <c r="H5" s="5"/>
      <c r="I5" s="6" t="s">
        <v>8</v>
      </c>
      <c r="J5" s="7" t="s">
        <v>2</v>
      </c>
    </row>
    <row r="6" spans="1:88" ht="31.5">
      <c r="A6" s="11" t="s">
        <v>9</v>
      </c>
      <c r="B6" s="12"/>
      <c r="C6" s="8"/>
      <c r="D6" s="10"/>
      <c r="E6" s="10"/>
      <c r="F6" s="5"/>
      <c r="G6" s="4">
        <v>25</v>
      </c>
      <c r="H6" s="13"/>
      <c r="I6" s="5"/>
      <c r="J6" s="4">
        <v>100</v>
      </c>
      <c r="K6" s="4"/>
      <c r="L6" s="13"/>
      <c r="M6" s="4">
        <v>400</v>
      </c>
      <c r="N6" s="5"/>
      <c r="O6" s="4"/>
      <c r="P6" s="4">
        <v>700</v>
      </c>
      <c r="Q6" s="5"/>
      <c r="R6" s="5"/>
    </row>
    <row r="7" spans="1:88" ht="25.5">
      <c r="A7" s="14" t="s">
        <v>10</v>
      </c>
      <c r="B7" s="15" t="s">
        <v>11</v>
      </c>
      <c r="C7" s="15" t="s">
        <v>12</v>
      </c>
      <c r="D7" s="14" t="s">
        <v>13</v>
      </c>
      <c r="E7" s="14" t="s">
        <v>14</v>
      </c>
      <c r="F7" s="16" t="s">
        <v>15</v>
      </c>
      <c r="G7" s="17" t="s">
        <v>16</v>
      </c>
      <c r="H7" s="18" t="s">
        <v>17</v>
      </c>
      <c r="I7" s="19" t="s">
        <v>18</v>
      </c>
      <c r="J7" s="17" t="s">
        <v>16</v>
      </c>
      <c r="K7" s="18" t="s">
        <v>17</v>
      </c>
      <c r="L7" s="19" t="s">
        <v>18</v>
      </c>
      <c r="M7" s="17" t="s">
        <v>16</v>
      </c>
      <c r="N7" s="18" t="s">
        <v>17</v>
      </c>
      <c r="O7" s="19" t="s">
        <v>18</v>
      </c>
      <c r="P7" s="17" t="s">
        <v>16</v>
      </c>
      <c r="Q7" s="18" t="s">
        <v>17</v>
      </c>
      <c r="R7" s="19" t="s">
        <v>18</v>
      </c>
    </row>
    <row r="8" spans="1:88" s="23" customFormat="1" ht="18.75" customHeight="1">
      <c r="A8" s="20" t="s">
        <v>19</v>
      </c>
      <c r="B8" s="21" t="s">
        <v>20</v>
      </c>
      <c r="C8" s="8">
        <v>1</v>
      </c>
      <c r="D8" s="10" t="s">
        <v>21</v>
      </c>
      <c r="E8" s="10" t="s">
        <v>22</v>
      </c>
      <c r="F8"/>
      <c r="G8" s="4">
        <f t="shared" ref="G8:G48" si="0">C8*$G$6</f>
        <v>25</v>
      </c>
      <c r="H8" s="22"/>
      <c r="I8" t="b">
        <f t="shared" ref="I8:I47" si="1">IF($F8="NTD",H8,IF($F8="USD",H8*$G$3,IF($F8="RMB",H8*$G$4,IF($F8="JPY",H8*$G$2,FALSE))))</f>
        <v>0</v>
      </c>
      <c r="J8" s="4">
        <f t="shared" ref="J8:J48" si="2">C8*$J$6</f>
        <v>100</v>
      </c>
      <c r="K8"/>
      <c r="L8" t="b">
        <f t="shared" ref="L8:L47" si="3">IF($F8="NTD",K8,IF($F8="USD",K8*$G$3,IF($F8="RMB",K8*$G$4,IF($F8="JPY",K8*$G$2,FALSE))))</f>
        <v>0</v>
      </c>
      <c r="M8" s="4">
        <f t="shared" ref="M8:M48" si="4">C8*$M$6</f>
        <v>400</v>
      </c>
      <c r="N8"/>
      <c r="O8" t="b">
        <f t="shared" ref="O8:O47" si="5">IF($F8="NTD",N8,IF($F8="USD",N8*$G$3,IF($F8="RMB",N8*$G$4,IF($F8="JPY",N8*$G$2,FALSE))))</f>
        <v>0</v>
      </c>
      <c r="P8" s="4">
        <f t="shared" ref="P8:P48" si="6">C8*$P$6</f>
        <v>700</v>
      </c>
      <c r="Q8"/>
      <c r="R8" t="b">
        <f t="shared" ref="R8:R47" si="7">IF($F8="NTD",Q8,IF($F8="USD",Q8*$G$3,IF($F8="RMB",Q8*$G$4,IF($F8="JPY",Q8*$G$2,FALSE))))</f>
        <v>0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4.25" customHeight="1">
      <c r="A9" s="20" t="s">
        <v>23</v>
      </c>
      <c r="B9" s="21" t="s">
        <v>24</v>
      </c>
      <c r="C9" s="8">
        <v>1</v>
      </c>
      <c r="D9" s="10" t="s">
        <v>25</v>
      </c>
      <c r="E9" s="10" t="s">
        <v>26</v>
      </c>
      <c r="F9" t="s">
        <v>27</v>
      </c>
      <c r="G9" s="4">
        <f t="shared" si="0"/>
        <v>25</v>
      </c>
      <c r="H9">
        <v>0.17299999999999999</v>
      </c>
      <c r="I9">
        <f t="shared" si="1"/>
        <v>5.5359999999999996</v>
      </c>
      <c r="J9" s="4">
        <f t="shared" si="2"/>
        <v>100</v>
      </c>
      <c r="K9">
        <v>0.157</v>
      </c>
      <c r="L9">
        <f t="shared" si="3"/>
        <v>5.024</v>
      </c>
      <c r="M9" s="4">
        <f t="shared" si="4"/>
        <v>400</v>
      </c>
      <c r="N9">
        <v>0.157</v>
      </c>
      <c r="O9">
        <f t="shared" si="5"/>
        <v>5.024</v>
      </c>
      <c r="P9" s="4">
        <f t="shared" si="6"/>
        <v>700</v>
      </c>
      <c r="Q9">
        <v>0.157</v>
      </c>
      <c r="R9">
        <f t="shared" si="7"/>
        <v>5.024</v>
      </c>
    </row>
    <row r="10" spans="1:88">
      <c r="A10" s="20"/>
      <c r="B10" s="9"/>
      <c r="C10" s="8"/>
      <c r="D10" s="10" t="s">
        <v>25</v>
      </c>
      <c r="E10" s="10" t="s">
        <v>28</v>
      </c>
      <c r="G10" s="4">
        <f t="shared" si="0"/>
        <v>0</v>
      </c>
      <c r="I10" t="b">
        <f t="shared" si="1"/>
        <v>0</v>
      </c>
      <c r="J10" s="4">
        <f t="shared" si="2"/>
        <v>0</v>
      </c>
      <c r="L10" t="b">
        <f t="shared" si="3"/>
        <v>0</v>
      </c>
      <c r="M10" s="4">
        <f t="shared" si="4"/>
        <v>0</v>
      </c>
      <c r="O10" t="b">
        <f t="shared" si="5"/>
        <v>0</v>
      </c>
      <c r="P10" s="4">
        <f t="shared" si="6"/>
        <v>0</v>
      </c>
      <c r="R10" t="b">
        <f t="shared" si="7"/>
        <v>0</v>
      </c>
    </row>
    <row r="11" spans="1:88" ht="13.5" customHeight="1">
      <c r="A11" s="20"/>
      <c r="B11" s="9"/>
      <c r="C11" s="8"/>
      <c r="D11" s="10" t="s">
        <v>29</v>
      </c>
      <c r="E11" s="10" t="s">
        <v>30</v>
      </c>
      <c r="G11" s="4">
        <f t="shared" si="0"/>
        <v>0</v>
      </c>
      <c r="I11" t="b">
        <f t="shared" si="1"/>
        <v>0</v>
      </c>
      <c r="J11" s="4">
        <f t="shared" si="2"/>
        <v>0</v>
      </c>
      <c r="L11" t="b">
        <f t="shared" si="3"/>
        <v>0</v>
      </c>
      <c r="M11" s="4">
        <f t="shared" si="4"/>
        <v>0</v>
      </c>
      <c r="O11" t="b">
        <f t="shared" si="5"/>
        <v>0</v>
      </c>
      <c r="P11" s="4">
        <f t="shared" si="6"/>
        <v>0</v>
      </c>
      <c r="R11" t="b">
        <f t="shared" si="7"/>
        <v>0</v>
      </c>
    </row>
    <row r="12" spans="1:88" ht="26.25">
      <c r="A12" s="20"/>
      <c r="B12" s="9"/>
      <c r="C12" s="8"/>
      <c r="D12" s="10" t="s">
        <v>31</v>
      </c>
      <c r="E12" s="10" t="s">
        <v>32</v>
      </c>
      <c r="G12" s="4">
        <f t="shared" si="0"/>
        <v>0</v>
      </c>
      <c r="I12" t="b">
        <f t="shared" si="1"/>
        <v>0</v>
      </c>
      <c r="J12" s="4">
        <f t="shared" si="2"/>
        <v>0</v>
      </c>
      <c r="L12" t="b">
        <f t="shared" si="3"/>
        <v>0</v>
      </c>
      <c r="M12" s="4">
        <f t="shared" si="4"/>
        <v>0</v>
      </c>
      <c r="O12" t="b">
        <f t="shared" si="5"/>
        <v>0</v>
      </c>
      <c r="P12" s="4">
        <f t="shared" si="6"/>
        <v>0</v>
      </c>
      <c r="R12" t="b">
        <f t="shared" si="7"/>
        <v>0</v>
      </c>
    </row>
    <row r="13" spans="1:88">
      <c r="A13" s="20"/>
      <c r="B13" s="9"/>
      <c r="C13" s="8"/>
      <c r="D13" s="10" t="s">
        <v>33</v>
      </c>
      <c r="E13" s="10" t="s">
        <v>34</v>
      </c>
      <c r="G13" s="4">
        <f t="shared" si="0"/>
        <v>0</v>
      </c>
      <c r="I13" t="b">
        <f t="shared" si="1"/>
        <v>0</v>
      </c>
      <c r="J13" s="4">
        <f t="shared" si="2"/>
        <v>0</v>
      </c>
      <c r="L13" t="b">
        <f t="shared" si="3"/>
        <v>0</v>
      </c>
      <c r="M13" s="4">
        <f t="shared" si="4"/>
        <v>0</v>
      </c>
      <c r="O13" t="b">
        <f t="shared" si="5"/>
        <v>0</v>
      </c>
      <c r="P13" s="4">
        <f t="shared" si="6"/>
        <v>0</v>
      </c>
      <c r="R13" t="b">
        <f t="shared" si="7"/>
        <v>0</v>
      </c>
    </row>
    <row r="14" spans="1:88" ht="32.25" customHeight="1">
      <c r="A14" s="20"/>
      <c r="B14" s="9"/>
      <c r="C14" s="8"/>
      <c r="D14" s="10" t="s">
        <v>35</v>
      </c>
      <c r="E14" s="10" t="s">
        <v>36</v>
      </c>
      <c r="G14" s="4">
        <f t="shared" si="0"/>
        <v>0</v>
      </c>
      <c r="I14" t="b">
        <f t="shared" si="1"/>
        <v>0</v>
      </c>
      <c r="J14" s="4">
        <f t="shared" si="2"/>
        <v>0</v>
      </c>
      <c r="L14" t="b">
        <f t="shared" si="3"/>
        <v>0</v>
      </c>
      <c r="M14" s="4">
        <f t="shared" si="4"/>
        <v>0</v>
      </c>
      <c r="O14" t="b">
        <f t="shared" si="5"/>
        <v>0</v>
      </c>
      <c r="P14" s="4">
        <f t="shared" si="6"/>
        <v>0</v>
      </c>
      <c r="R14" t="b">
        <f t="shared" si="7"/>
        <v>0</v>
      </c>
    </row>
    <row r="15" spans="1:88" ht="14.25" customHeight="1">
      <c r="A15" s="20" t="s">
        <v>37</v>
      </c>
      <c r="B15" s="21" t="s">
        <v>38</v>
      </c>
      <c r="C15" s="8">
        <v>1</v>
      </c>
      <c r="D15" s="10" t="s">
        <v>29</v>
      </c>
      <c r="E15" s="10" t="s">
        <v>39</v>
      </c>
      <c r="F15" t="s">
        <v>27</v>
      </c>
      <c r="G15" s="4">
        <f t="shared" si="0"/>
        <v>25</v>
      </c>
      <c r="H15">
        <v>0.151</v>
      </c>
      <c r="I15">
        <f t="shared" si="1"/>
        <v>4.8319999999999999</v>
      </c>
      <c r="J15" s="4">
        <f t="shared" si="2"/>
        <v>100</v>
      </c>
      <c r="K15">
        <v>0.124</v>
      </c>
      <c r="L15">
        <f t="shared" si="3"/>
        <v>3.968</v>
      </c>
      <c r="M15" s="4">
        <f t="shared" si="4"/>
        <v>400</v>
      </c>
      <c r="N15">
        <v>0.124</v>
      </c>
      <c r="O15">
        <f t="shared" si="5"/>
        <v>3.968</v>
      </c>
      <c r="P15" s="4">
        <f t="shared" si="6"/>
        <v>700</v>
      </c>
      <c r="Q15">
        <v>0.124</v>
      </c>
      <c r="R15">
        <f t="shared" si="7"/>
        <v>3.968</v>
      </c>
    </row>
    <row r="16" spans="1:88" ht="14.25" customHeight="1">
      <c r="A16" s="20"/>
      <c r="B16" s="9"/>
      <c r="C16" s="8"/>
      <c r="D16" s="10" t="s">
        <v>31</v>
      </c>
      <c r="E16" s="10" t="s">
        <v>40</v>
      </c>
      <c r="G16" s="4">
        <f t="shared" si="0"/>
        <v>0</v>
      </c>
      <c r="I16" t="b">
        <f t="shared" si="1"/>
        <v>0</v>
      </c>
      <c r="J16" s="4">
        <f t="shared" si="2"/>
        <v>0</v>
      </c>
      <c r="L16" t="b">
        <f t="shared" si="3"/>
        <v>0</v>
      </c>
      <c r="M16" s="4">
        <f t="shared" si="4"/>
        <v>0</v>
      </c>
      <c r="O16" t="b">
        <f t="shared" si="5"/>
        <v>0</v>
      </c>
      <c r="P16" s="4">
        <f t="shared" si="6"/>
        <v>0</v>
      </c>
      <c r="R16" t="b">
        <f t="shared" si="7"/>
        <v>0</v>
      </c>
    </row>
    <row r="17" spans="1:18">
      <c r="A17" s="20"/>
      <c r="B17" s="9"/>
      <c r="C17" s="8"/>
      <c r="D17" s="10" t="s">
        <v>41</v>
      </c>
      <c r="E17" s="10" t="s">
        <v>42</v>
      </c>
      <c r="G17" s="4">
        <f t="shared" si="0"/>
        <v>0</v>
      </c>
      <c r="I17" t="b">
        <f t="shared" si="1"/>
        <v>0</v>
      </c>
      <c r="J17" s="4">
        <f t="shared" si="2"/>
        <v>0</v>
      </c>
      <c r="L17" t="b">
        <f t="shared" si="3"/>
        <v>0</v>
      </c>
      <c r="M17" s="4">
        <f t="shared" si="4"/>
        <v>0</v>
      </c>
      <c r="O17" t="b">
        <f t="shared" si="5"/>
        <v>0</v>
      </c>
      <c r="P17" s="4">
        <f t="shared" si="6"/>
        <v>0</v>
      </c>
      <c r="R17" t="b">
        <f t="shared" si="7"/>
        <v>0</v>
      </c>
    </row>
    <row r="18" spans="1:18">
      <c r="A18" s="20"/>
      <c r="B18" s="9"/>
      <c r="C18" s="8"/>
      <c r="D18" s="10" t="s">
        <v>35</v>
      </c>
      <c r="E18" s="10" t="s">
        <v>43</v>
      </c>
      <c r="G18" s="4">
        <f t="shared" si="0"/>
        <v>0</v>
      </c>
      <c r="I18" t="b">
        <f t="shared" si="1"/>
        <v>0</v>
      </c>
      <c r="J18" s="4">
        <f t="shared" si="2"/>
        <v>0</v>
      </c>
      <c r="L18" t="b">
        <f t="shared" si="3"/>
        <v>0</v>
      </c>
      <c r="M18" s="4">
        <f t="shared" si="4"/>
        <v>0</v>
      </c>
      <c r="O18" t="b">
        <f t="shared" si="5"/>
        <v>0</v>
      </c>
      <c r="P18" s="4">
        <f t="shared" si="6"/>
        <v>0</v>
      </c>
      <c r="R18" t="b">
        <f t="shared" si="7"/>
        <v>0</v>
      </c>
    </row>
    <row r="19" spans="1:18">
      <c r="A19" s="20"/>
      <c r="B19" s="9"/>
      <c r="C19" s="8"/>
      <c r="D19" s="10" t="s">
        <v>35</v>
      </c>
      <c r="E19" s="10" t="s">
        <v>44</v>
      </c>
      <c r="G19" s="4">
        <f t="shared" si="0"/>
        <v>0</v>
      </c>
      <c r="I19" t="b">
        <f t="shared" si="1"/>
        <v>0</v>
      </c>
      <c r="J19" s="4">
        <f t="shared" si="2"/>
        <v>0</v>
      </c>
      <c r="L19" t="b">
        <f t="shared" si="3"/>
        <v>0</v>
      </c>
      <c r="M19" s="4">
        <f t="shared" si="4"/>
        <v>0</v>
      </c>
      <c r="O19" t="b">
        <f t="shared" si="5"/>
        <v>0</v>
      </c>
      <c r="P19" s="4">
        <f t="shared" si="6"/>
        <v>0</v>
      </c>
      <c r="R19" t="b">
        <f t="shared" si="7"/>
        <v>0</v>
      </c>
    </row>
    <row r="20" spans="1:18">
      <c r="A20" s="20"/>
      <c r="B20" s="9"/>
      <c r="C20" s="8"/>
      <c r="D20" s="10" t="s">
        <v>45</v>
      </c>
      <c r="E20" s="10" t="s">
        <v>46</v>
      </c>
      <c r="G20" s="4">
        <f t="shared" si="0"/>
        <v>0</v>
      </c>
      <c r="I20" t="b">
        <f t="shared" si="1"/>
        <v>0</v>
      </c>
      <c r="J20" s="4">
        <f t="shared" si="2"/>
        <v>0</v>
      </c>
      <c r="L20" t="b">
        <f t="shared" si="3"/>
        <v>0</v>
      </c>
      <c r="M20" s="4">
        <f t="shared" si="4"/>
        <v>0</v>
      </c>
      <c r="O20" t="b">
        <f t="shared" si="5"/>
        <v>0</v>
      </c>
      <c r="P20" s="4">
        <f t="shared" si="6"/>
        <v>0</v>
      </c>
      <c r="R20" t="b">
        <f t="shared" si="7"/>
        <v>0</v>
      </c>
    </row>
    <row r="21" spans="1:18" ht="25.5">
      <c r="A21" s="20" t="s">
        <v>47</v>
      </c>
      <c r="B21" s="21" t="s">
        <v>48</v>
      </c>
      <c r="C21" s="8">
        <v>2</v>
      </c>
      <c r="D21" s="10" t="s">
        <v>49</v>
      </c>
      <c r="E21" s="10" t="s">
        <v>50</v>
      </c>
      <c r="F21" t="s">
        <v>27</v>
      </c>
      <c r="G21" s="4">
        <f t="shared" si="0"/>
        <v>50</v>
      </c>
      <c r="H21">
        <v>0.14199999999999999</v>
      </c>
      <c r="I21">
        <f t="shared" si="1"/>
        <v>4.5439999999999996</v>
      </c>
      <c r="J21" s="4">
        <f t="shared" si="2"/>
        <v>200</v>
      </c>
      <c r="K21">
        <v>0.124</v>
      </c>
      <c r="L21">
        <f t="shared" si="3"/>
        <v>3.968</v>
      </c>
      <c r="M21" s="4">
        <f t="shared" si="4"/>
        <v>800</v>
      </c>
      <c r="N21">
        <v>0.124</v>
      </c>
      <c r="O21">
        <f t="shared" si="5"/>
        <v>3.968</v>
      </c>
      <c r="P21" s="4">
        <f t="shared" si="6"/>
        <v>1400</v>
      </c>
      <c r="Q21">
        <v>0.124</v>
      </c>
      <c r="R21">
        <f t="shared" si="7"/>
        <v>3.968</v>
      </c>
    </row>
    <row r="22" spans="1:18">
      <c r="A22" s="20"/>
      <c r="B22" s="9"/>
      <c r="C22" s="8"/>
      <c r="D22" s="10" t="s">
        <v>51</v>
      </c>
      <c r="E22" s="10" t="s">
        <v>52</v>
      </c>
      <c r="G22" s="4">
        <f t="shared" si="0"/>
        <v>0</v>
      </c>
      <c r="I22" t="b">
        <f t="shared" si="1"/>
        <v>0</v>
      </c>
      <c r="J22" s="4">
        <f t="shared" si="2"/>
        <v>0</v>
      </c>
      <c r="L22" t="b">
        <f t="shared" si="3"/>
        <v>0</v>
      </c>
      <c r="M22" s="4">
        <f t="shared" si="4"/>
        <v>0</v>
      </c>
      <c r="O22" t="b">
        <f t="shared" si="5"/>
        <v>0</v>
      </c>
      <c r="P22" s="4">
        <f t="shared" si="6"/>
        <v>0</v>
      </c>
      <c r="R22" t="b">
        <f t="shared" si="7"/>
        <v>0</v>
      </c>
    </row>
    <row r="23" spans="1:18">
      <c r="A23" s="20"/>
      <c r="B23" s="9"/>
      <c r="C23" s="8"/>
      <c r="D23" s="10" t="s">
        <v>29</v>
      </c>
      <c r="E23" s="10" t="s">
        <v>53</v>
      </c>
      <c r="G23" s="4">
        <f t="shared" si="0"/>
        <v>0</v>
      </c>
      <c r="I23" t="b">
        <f t="shared" si="1"/>
        <v>0</v>
      </c>
      <c r="J23" s="4">
        <f t="shared" si="2"/>
        <v>0</v>
      </c>
      <c r="L23" t="b">
        <f t="shared" si="3"/>
        <v>0</v>
      </c>
      <c r="M23" s="4">
        <f t="shared" si="4"/>
        <v>0</v>
      </c>
      <c r="O23" t="b">
        <f t="shared" si="5"/>
        <v>0</v>
      </c>
      <c r="P23" s="4">
        <f t="shared" si="6"/>
        <v>0</v>
      </c>
      <c r="R23" t="b">
        <f t="shared" si="7"/>
        <v>0</v>
      </c>
    </row>
    <row r="24" spans="1:18">
      <c r="A24" s="20"/>
      <c r="B24" s="9"/>
      <c r="C24" s="8"/>
      <c r="D24" s="10" t="s">
        <v>29</v>
      </c>
      <c r="E24" s="10" t="s">
        <v>54</v>
      </c>
      <c r="G24" s="4">
        <f t="shared" si="0"/>
        <v>0</v>
      </c>
      <c r="I24" t="b">
        <f t="shared" si="1"/>
        <v>0</v>
      </c>
      <c r="J24" s="4">
        <f t="shared" si="2"/>
        <v>0</v>
      </c>
      <c r="L24" t="b">
        <f t="shared" si="3"/>
        <v>0</v>
      </c>
      <c r="M24" s="4">
        <f t="shared" si="4"/>
        <v>0</v>
      </c>
      <c r="O24" t="b">
        <f t="shared" si="5"/>
        <v>0</v>
      </c>
      <c r="P24" s="4">
        <f t="shared" si="6"/>
        <v>0</v>
      </c>
      <c r="R24" t="b">
        <f t="shared" si="7"/>
        <v>0</v>
      </c>
    </row>
    <row r="25" spans="1:18" ht="26.25">
      <c r="A25" s="20"/>
      <c r="B25" s="9"/>
      <c r="C25" s="8"/>
      <c r="D25" s="10" t="s">
        <v>31</v>
      </c>
      <c r="E25" s="10" t="s">
        <v>55</v>
      </c>
      <c r="G25" s="4">
        <f t="shared" si="0"/>
        <v>0</v>
      </c>
      <c r="I25" t="b">
        <f t="shared" si="1"/>
        <v>0</v>
      </c>
      <c r="J25" s="4">
        <f t="shared" si="2"/>
        <v>0</v>
      </c>
      <c r="L25" t="b">
        <f t="shared" si="3"/>
        <v>0</v>
      </c>
      <c r="M25" s="4">
        <f t="shared" si="4"/>
        <v>0</v>
      </c>
      <c r="O25" t="b">
        <f t="shared" si="5"/>
        <v>0</v>
      </c>
      <c r="P25" s="4">
        <f t="shared" si="6"/>
        <v>0</v>
      </c>
      <c r="R25" t="b">
        <f t="shared" si="7"/>
        <v>0</v>
      </c>
    </row>
    <row r="26" spans="1:18">
      <c r="A26" s="20"/>
      <c r="B26" s="9"/>
      <c r="C26" s="8"/>
      <c r="D26" s="10" t="s">
        <v>33</v>
      </c>
      <c r="E26" s="10" t="s">
        <v>56</v>
      </c>
      <c r="G26" s="4">
        <f t="shared" si="0"/>
        <v>0</v>
      </c>
      <c r="I26" t="b">
        <f t="shared" si="1"/>
        <v>0</v>
      </c>
      <c r="J26" s="4">
        <f t="shared" si="2"/>
        <v>0</v>
      </c>
      <c r="L26" t="b">
        <f t="shared" si="3"/>
        <v>0</v>
      </c>
      <c r="M26" s="4">
        <f t="shared" si="4"/>
        <v>0</v>
      </c>
      <c r="O26" t="b">
        <f t="shared" si="5"/>
        <v>0</v>
      </c>
      <c r="P26" s="4">
        <f t="shared" si="6"/>
        <v>0</v>
      </c>
      <c r="R26" t="b">
        <f t="shared" si="7"/>
        <v>0</v>
      </c>
    </row>
    <row r="27" spans="1:18" ht="25.5">
      <c r="A27" s="20" t="s">
        <v>57</v>
      </c>
      <c r="B27" s="21" t="s">
        <v>58</v>
      </c>
      <c r="C27" s="8">
        <v>4</v>
      </c>
      <c r="D27" s="10" t="s">
        <v>59</v>
      </c>
      <c r="E27" s="10" t="s">
        <v>60</v>
      </c>
      <c r="F27" t="s">
        <v>27</v>
      </c>
      <c r="G27" s="4">
        <f t="shared" si="0"/>
        <v>100</v>
      </c>
      <c r="H27">
        <v>0.37619999999999998</v>
      </c>
      <c r="I27">
        <f t="shared" si="1"/>
        <v>12.038399999999999</v>
      </c>
      <c r="J27" s="4">
        <f t="shared" si="2"/>
        <v>400</v>
      </c>
      <c r="K27">
        <v>0.37619999999999998</v>
      </c>
      <c r="L27">
        <f t="shared" si="3"/>
        <v>12.038399999999999</v>
      </c>
      <c r="M27" s="4">
        <f t="shared" si="4"/>
        <v>1600</v>
      </c>
      <c r="N27">
        <v>0.2354</v>
      </c>
      <c r="O27">
        <f t="shared" si="5"/>
        <v>7.5327999999999999</v>
      </c>
      <c r="P27" s="4">
        <f t="shared" si="6"/>
        <v>2800</v>
      </c>
      <c r="Q27">
        <v>0.2354</v>
      </c>
      <c r="R27">
        <f t="shared" si="7"/>
        <v>7.5327999999999999</v>
      </c>
    </row>
    <row r="28" spans="1:18">
      <c r="A28" s="20"/>
      <c r="B28" s="9"/>
      <c r="C28" s="8"/>
      <c r="D28" s="10" t="s">
        <v>59</v>
      </c>
      <c r="E28" s="24" t="s">
        <v>61</v>
      </c>
      <c r="G28" s="4">
        <f t="shared" si="0"/>
        <v>0</v>
      </c>
      <c r="I28" t="b">
        <f t="shared" si="1"/>
        <v>0</v>
      </c>
      <c r="J28" s="4">
        <f t="shared" si="2"/>
        <v>0</v>
      </c>
      <c r="L28" t="b">
        <f t="shared" si="3"/>
        <v>0</v>
      </c>
      <c r="M28" s="4">
        <f t="shared" si="4"/>
        <v>0</v>
      </c>
      <c r="O28" t="b">
        <f t="shared" si="5"/>
        <v>0</v>
      </c>
      <c r="P28" s="4">
        <f t="shared" si="6"/>
        <v>0</v>
      </c>
      <c r="R28" t="b">
        <f t="shared" si="7"/>
        <v>0</v>
      </c>
    </row>
    <row r="29" spans="1:18" ht="25.5">
      <c r="A29" s="20" t="s">
        <v>62</v>
      </c>
      <c r="B29" s="21" t="s">
        <v>63</v>
      </c>
      <c r="C29" s="8">
        <v>2</v>
      </c>
      <c r="D29" s="10" t="s">
        <v>64</v>
      </c>
      <c r="E29" s="10" t="s">
        <v>65</v>
      </c>
      <c r="F29" t="s">
        <v>27</v>
      </c>
      <c r="G29" s="4">
        <f t="shared" si="0"/>
        <v>50</v>
      </c>
      <c r="H29">
        <v>2.62</v>
      </c>
      <c r="I29">
        <f t="shared" si="1"/>
        <v>83.84</v>
      </c>
      <c r="J29" s="4">
        <f t="shared" si="2"/>
        <v>200</v>
      </c>
      <c r="K29">
        <v>2.4</v>
      </c>
      <c r="L29">
        <f t="shared" si="3"/>
        <v>76.8</v>
      </c>
      <c r="M29" s="4">
        <f t="shared" si="4"/>
        <v>800</v>
      </c>
      <c r="N29">
        <v>2.2000000000000002</v>
      </c>
      <c r="O29">
        <f t="shared" si="5"/>
        <v>70.400000000000006</v>
      </c>
      <c r="P29" s="4">
        <f t="shared" si="6"/>
        <v>1400</v>
      </c>
      <c r="Q29">
        <v>2.15</v>
      </c>
      <c r="R29">
        <f t="shared" si="7"/>
        <v>68.8</v>
      </c>
    </row>
    <row r="30" spans="1:18">
      <c r="A30" s="20"/>
      <c r="B30" s="9"/>
      <c r="C30" s="8"/>
      <c r="D30" s="10" t="s">
        <v>64</v>
      </c>
      <c r="E30" s="10" t="s">
        <v>66</v>
      </c>
      <c r="G30" s="4">
        <f t="shared" si="0"/>
        <v>0</v>
      </c>
      <c r="I30" t="b">
        <f t="shared" si="1"/>
        <v>0</v>
      </c>
      <c r="J30" s="4">
        <f t="shared" si="2"/>
        <v>0</v>
      </c>
      <c r="L30" t="b">
        <f t="shared" si="3"/>
        <v>0</v>
      </c>
      <c r="M30" s="4">
        <f t="shared" si="4"/>
        <v>0</v>
      </c>
      <c r="O30" t="b">
        <f t="shared" si="5"/>
        <v>0</v>
      </c>
      <c r="P30" s="4">
        <f t="shared" si="6"/>
        <v>0</v>
      </c>
      <c r="R30" t="b">
        <f t="shared" si="7"/>
        <v>0</v>
      </c>
    </row>
    <row r="31" spans="1:18">
      <c r="A31" s="20"/>
      <c r="B31" s="9"/>
      <c r="C31" s="8"/>
      <c r="D31" s="10" t="s">
        <v>64</v>
      </c>
      <c r="E31" s="10" t="s">
        <v>67</v>
      </c>
      <c r="G31" s="4">
        <f t="shared" si="0"/>
        <v>0</v>
      </c>
      <c r="I31" t="b">
        <f t="shared" si="1"/>
        <v>0</v>
      </c>
      <c r="J31" s="4">
        <f t="shared" si="2"/>
        <v>0</v>
      </c>
      <c r="L31" t="b">
        <f t="shared" si="3"/>
        <v>0</v>
      </c>
      <c r="M31" s="4">
        <f t="shared" si="4"/>
        <v>0</v>
      </c>
      <c r="O31" t="b">
        <f t="shared" si="5"/>
        <v>0</v>
      </c>
      <c r="P31" s="4">
        <f t="shared" si="6"/>
        <v>0</v>
      </c>
      <c r="R31" t="b">
        <f t="shared" si="7"/>
        <v>0</v>
      </c>
    </row>
    <row r="32" spans="1:18" ht="25.5">
      <c r="A32" s="20" t="s">
        <v>68</v>
      </c>
      <c r="B32" s="21" t="s">
        <v>69</v>
      </c>
      <c r="C32" s="8">
        <v>48</v>
      </c>
      <c r="D32" s="10" t="s">
        <v>70</v>
      </c>
      <c r="E32" s="10" t="s">
        <v>71</v>
      </c>
      <c r="F32" t="s">
        <v>27</v>
      </c>
      <c r="G32" s="4">
        <f t="shared" si="0"/>
        <v>1200</v>
      </c>
      <c r="H32">
        <v>0.29199999999999998</v>
      </c>
      <c r="I32">
        <f t="shared" si="1"/>
        <v>9.3439999999999994</v>
      </c>
      <c r="J32" s="4">
        <f t="shared" si="2"/>
        <v>4800</v>
      </c>
      <c r="K32">
        <v>0.29199999999999998</v>
      </c>
      <c r="L32">
        <f t="shared" si="3"/>
        <v>9.3439999999999994</v>
      </c>
      <c r="M32" s="4">
        <f t="shared" si="4"/>
        <v>19200</v>
      </c>
      <c r="N32">
        <v>0.29199999999999998</v>
      </c>
      <c r="O32">
        <f t="shared" si="5"/>
        <v>9.3439999999999994</v>
      </c>
      <c r="P32" s="4">
        <f t="shared" si="6"/>
        <v>33600</v>
      </c>
      <c r="Q32">
        <v>0.29199999999999998</v>
      </c>
      <c r="R32">
        <f t="shared" si="7"/>
        <v>9.3439999999999994</v>
      </c>
    </row>
    <row r="33" spans="1:18">
      <c r="A33" s="20"/>
      <c r="B33" s="9"/>
      <c r="C33" s="8"/>
      <c r="D33" s="10" t="s">
        <v>72</v>
      </c>
      <c r="E33" s="10" t="s">
        <v>73</v>
      </c>
      <c r="G33" s="4">
        <f t="shared" si="0"/>
        <v>0</v>
      </c>
      <c r="I33" t="b">
        <f t="shared" si="1"/>
        <v>0</v>
      </c>
      <c r="J33" s="4">
        <f t="shared" si="2"/>
        <v>0</v>
      </c>
      <c r="L33" t="b">
        <f t="shared" si="3"/>
        <v>0</v>
      </c>
      <c r="M33" s="4">
        <f t="shared" si="4"/>
        <v>0</v>
      </c>
      <c r="O33" t="b">
        <f t="shared" si="5"/>
        <v>0</v>
      </c>
      <c r="P33" s="4">
        <f t="shared" si="6"/>
        <v>0</v>
      </c>
      <c r="R33" t="b">
        <f t="shared" si="7"/>
        <v>0</v>
      </c>
    </row>
    <row r="34" spans="1:18" ht="25.5">
      <c r="A34" s="20" t="s">
        <v>74</v>
      </c>
      <c r="B34" s="21" t="s">
        <v>75</v>
      </c>
      <c r="C34" s="8">
        <v>1</v>
      </c>
      <c r="D34" s="10" t="s">
        <v>76</v>
      </c>
      <c r="E34" s="10" t="s">
        <v>77</v>
      </c>
      <c r="F34" t="s">
        <v>27</v>
      </c>
      <c r="G34" s="4">
        <f t="shared" si="0"/>
        <v>25</v>
      </c>
      <c r="H34">
        <v>0.65200000000000002</v>
      </c>
      <c r="I34">
        <f t="shared" si="1"/>
        <v>20.864000000000001</v>
      </c>
      <c r="J34" s="4">
        <f t="shared" si="2"/>
        <v>100</v>
      </c>
      <c r="K34">
        <v>0.6</v>
      </c>
      <c r="L34">
        <f t="shared" si="3"/>
        <v>19.2</v>
      </c>
      <c r="M34" s="4">
        <f t="shared" si="4"/>
        <v>400</v>
      </c>
      <c r="N34">
        <v>0.6</v>
      </c>
      <c r="O34">
        <f t="shared" si="5"/>
        <v>19.2</v>
      </c>
      <c r="P34" s="4">
        <f t="shared" si="6"/>
        <v>700</v>
      </c>
      <c r="Q34">
        <v>0.55000000000000004</v>
      </c>
      <c r="R34">
        <f t="shared" si="7"/>
        <v>17.600000000000001</v>
      </c>
    </row>
    <row r="35" spans="1:18">
      <c r="A35" s="20"/>
      <c r="B35" s="9"/>
      <c r="C35" s="8"/>
      <c r="D35" s="10" t="s">
        <v>76</v>
      </c>
      <c r="E35" s="10" t="s">
        <v>78</v>
      </c>
      <c r="G35" s="4">
        <f t="shared" si="0"/>
        <v>0</v>
      </c>
      <c r="I35" t="b">
        <f t="shared" si="1"/>
        <v>0</v>
      </c>
      <c r="J35" s="4">
        <f t="shared" si="2"/>
        <v>0</v>
      </c>
      <c r="L35" t="b">
        <f t="shared" si="3"/>
        <v>0</v>
      </c>
      <c r="M35" s="4">
        <f t="shared" si="4"/>
        <v>0</v>
      </c>
      <c r="O35" t="b">
        <f t="shared" si="5"/>
        <v>0</v>
      </c>
      <c r="P35" s="4">
        <f t="shared" si="6"/>
        <v>0</v>
      </c>
      <c r="R35" t="b">
        <f t="shared" si="7"/>
        <v>0</v>
      </c>
    </row>
    <row r="36" spans="1:18" ht="25.5">
      <c r="A36" s="20" t="s">
        <v>79</v>
      </c>
      <c r="B36" s="21" t="s">
        <v>80</v>
      </c>
      <c r="C36" s="8">
        <v>1</v>
      </c>
      <c r="D36" s="10" t="s">
        <v>70</v>
      </c>
      <c r="E36" s="10" t="s">
        <v>81</v>
      </c>
      <c r="F36" t="s">
        <v>27</v>
      </c>
      <c r="G36" s="4">
        <f t="shared" si="0"/>
        <v>25</v>
      </c>
      <c r="H36">
        <v>0.45500000000000002</v>
      </c>
      <c r="I36">
        <f t="shared" si="1"/>
        <v>14.56</v>
      </c>
      <c r="J36" s="4">
        <f t="shared" si="2"/>
        <v>100</v>
      </c>
      <c r="K36">
        <v>0.39800000000000002</v>
      </c>
      <c r="L36">
        <f t="shared" si="3"/>
        <v>12.736000000000001</v>
      </c>
      <c r="M36" s="4">
        <f t="shared" si="4"/>
        <v>400</v>
      </c>
      <c r="N36">
        <v>0.371</v>
      </c>
      <c r="O36">
        <f t="shared" si="5"/>
        <v>11.872</v>
      </c>
      <c r="P36" s="4">
        <f t="shared" si="6"/>
        <v>700</v>
      </c>
      <c r="Q36">
        <v>0.35499999999999998</v>
      </c>
      <c r="R36">
        <f t="shared" si="7"/>
        <v>11.36</v>
      </c>
    </row>
    <row r="37" spans="1:18" ht="25.5">
      <c r="A37" s="20" t="s">
        <v>82</v>
      </c>
      <c r="B37" s="21" t="s">
        <v>83</v>
      </c>
      <c r="C37" s="8">
        <v>1</v>
      </c>
      <c r="D37" s="10" t="s">
        <v>76</v>
      </c>
      <c r="E37" s="10" t="s">
        <v>84</v>
      </c>
      <c r="F37" t="s">
        <v>27</v>
      </c>
      <c r="G37" s="4">
        <f t="shared" si="0"/>
        <v>25</v>
      </c>
      <c r="H37">
        <v>0.45</v>
      </c>
      <c r="I37">
        <f t="shared" si="1"/>
        <v>14.4</v>
      </c>
      <c r="J37" s="4">
        <f t="shared" si="2"/>
        <v>100</v>
      </c>
      <c r="K37">
        <v>0.42</v>
      </c>
      <c r="L37">
        <f t="shared" si="3"/>
        <v>13.44</v>
      </c>
      <c r="M37" s="4">
        <f t="shared" si="4"/>
        <v>400</v>
      </c>
      <c r="N37">
        <v>0.42</v>
      </c>
      <c r="O37">
        <f t="shared" si="5"/>
        <v>13.44</v>
      </c>
      <c r="P37" s="4">
        <f t="shared" si="6"/>
        <v>700</v>
      </c>
      <c r="Q37">
        <v>0.42</v>
      </c>
      <c r="R37">
        <f t="shared" si="7"/>
        <v>13.44</v>
      </c>
    </row>
    <row r="38" spans="1:18" ht="25.5">
      <c r="A38" s="20" t="s">
        <v>85</v>
      </c>
      <c r="B38" s="21" t="s">
        <v>86</v>
      </c>
      <c r="C38" s="8">
        <v>5</v>
      </c>
      <c r="D38" s="10" t="s">
        <v>76</v>
      </c>
      <c r="E38" s="10" t="s">
        <v>87</v>
      </c>
      <c r="F38" t="s">
        <v>27</v>
      </c>
      <c r="G38" s="4">
        <f t="shared" si="0"/>
        <v>125</v>
      </c>
      <c r="H38">
        <v>0.64</v>
      </c>
      <c r="I38">
        <f t="shared" si="1"/>
        <v>20.48</v>
      </c>
      <c r="J38" s="4">
        <f t="shared" si="2"/>
        <v>500</v>
      </c>
      <c r="K38">
        <v>0.56499999999999995</v>
      </c>
      <c r="L38">
        <f t="shared" si="3"/>
        <v>18.079999999999998</v>
      </c>
      <c r="M38" s="4">
        <f t="shared" si="4"/>
        <v>2000</v>
      </c>
      <c r="N38">
        <v>0.53300000000000003</v>
      </c>
      <c r="O38">
        <f t="shared" si="5"/>
        <v>17.056000000000001</v>
      </c>
      <c r="P38" s="4">
        <f t="shared" si="6"/>
        <v>3500</v>
      </c>
      <c r="Q38">
        <v>0.53300000000000003</v>
      </c>
      <c r="R38">
        <f t="shared" si="7"/>
        <v>17.056000000000001</v>
      </c>
    </row>
    <row r="39" spans="1:18">
      <c r="A39" s="20"/>
      <c r="B39" s="9"/>
      <c r="C39" s="8"/>
      <c r="D39" s="10" t="s">
        <v>76</v>
      </c>
      <c r="E39" s="10" t="s">
        <v>88</v>
      </c>
      <c r="G39" s="4">
        <f t="shared" si="0"/>
        <v>0</v>
      </c>
      <c r="I39" t="b">
        <f t="shared" si="1"/>
        <v>0</v>
      </c>
      <c r="J39" s="4">
        <f t="shared" si="2"/>
        <v>0</v>
      </c>
      <c r="L39" t="b">
        <f t="shared" si="3"/>
        <v>0</v>
      </c>
      <c r="M39" s="4">
        <f t="shared" si="4"/>
        <v>0</v>
      </c>
      <c r="O39" t="b">
        <f t="shared" si="5"/>
        <v>0</v>
      </c>
      <c r="P39" s="4">
        <f t="shared" si="6"/>
        <v>0</v>
      </c>
      <c r="R39" t="b">
        <f t="shared" si="7"/>
        <v>0</v>
      </c>
    </row>
    <row r="40" spans="1:18">
      <c r="A40" s="20"/>
      <c r="B40" s="9"/>
      <c r="C40" s="8"/>
      <c r="D40" s="10" t="s">
        <v>76</v>
      </c>
      <c r="E40" s="10" t="s">
        <v>89</v>
      </c>
      <c r="G40" s="4">
        <f t="shared" si="0"/>
        <v>0</v>
      </c>
      <c r="I40" t="b">
        <f t="shared" si="1"/>
        <v>0</v>
      </c>
      <c r="J40" s="4">
        <f t="shared" si="2"/>
        <v>0</v>
      </c>
      <c r="L40" t="b">
        <f t="shared" si="3"/>
        <v>0</v>
      </c>
      <c r="M40" s="4">
        <f t="shared" si="4"/>
        <v>0</v>
      </c>
      <c r="O40" t="b">
        <f t="shared" si="5"/>
        <v>0</v>
      </c>
      <c r="P40" s="4">
        <f t="shared" si="6"/>
        <v>0</v>
      </c>
      <c r="R40" t="b">
        <f t="shared" si="7"/>
        <v>0</v>
      </c>
    </row>
    <row r="41" spans="1:18">
      <c r="A41" s="20"/>
      <c r="B41" s="9"/>
      <c r="C41" s="8"/>
      <c r="D41" s="10" t="s">
        <v>76</v>
      </c>
      <c r="E41" s="10" t="s">
        <v>90</v>
      </c>
      <c r="G41" s="4">
        <f t="shared" si="0"/>
        <v>0</v>
      </c>
      <c r="I41" t="b">
        <f t="shared" si="1"/>
        <v>0</v>
      </c>
      <c r="J41" s="4">
        <f t="shared" si="2"/>
        <v>0</v>
      </c>
      <c r="L41" t="b">
        <f t="shared" si="3"/>
        <v>0</v>
      </c>
      <c r="M41" s="4">
        <f t="shared" si="4"/>
        <v>0</v>
      </c>
      <c r="O41" t="b">
        <f t="shared" si="5"/>
        <v>0</v>
      </c>
      <c r="P41" s="4">
        <f t="shared" si="6"/>
        <v>0</v>
      </c>
      <c r="R41" t="b">
        <f t="shared" si="7"/>
        <v>0</v>
      </c>
    </row>
    <row r="42" spans="1:18">
      <c r="A42" s="20"/>
      <c r="B42" s="9"/>
      <c r="C42" s="8"/>
      <c r="D42" s="10" t="s">
        <v>91</v>
      </c>
      <c r="E42" s="10" t="s">
        <v>92</v>
      </c>
      <c r="G42" s="4">
        <f t="shared" si="0"/>
        <v>0</v>
      </c>
      <c r="I42" t="b">
        <f t="shared" si="1"/>
        <v>0</v>
      </c>
      <c r="J42" s="4">
        <f t="shared" si="2"/>
        <v>0</v>
      </c>
      <c r="L42" t="b">
        <f t="shared" si="3"/>
        <v>0</v>
      </c>
      <c r="M42" s="4">
        <f t="shared" si="4"/>
        <v>0</v>
      </c>
      <c r="O42" t="b">
        <f t="shared" si="5"/>
        <v>0</v>
      </c>
      <c r="P42" s="4">
        <f t="shared" si="6"/>
        <v>0</v>
      </c>
      <c r="R42" t="b">
        <f t="shared" si="7"/>
        <v>0</v>
      </c>
    </row>
    <row r="43" spans="1:18" ht="25.5">
      <c r="A43" s="20" t="s">
        <v>93</v>
      </c>
      <c r="B43" s="21" t="s">
        <v>94</v>
      </c>
      <c r="C43" s="8">
        <v>1</v>
      </c>
      <c r="D43" s="10" t="s">
        <v>76</v>
      </c>
      <c r="E43" s="10" t="s">
        <v>95</v>
      </c>
      <c r="F43" t="s">
        <v>27</v>
      </c>
      <c r="G43" s="4">
        <f t="shared" si="0"/>
        <v>25</v>
      </c>
      <c r="H43">
        <v>3.92</v>
      </c>
      <c r="I43">
        <f t="shared" si="1"/>
        <v>125.44</v>
      </c>
      <c r="J43" s="4">
        <f t="shared" si="2"/>
        <v>100</v>
      </c>
      <c r="K43">
        <v>3.56</v>
      </c>
      <c r="L43">
        <f t="shared" si="3"/>
        <v>113.92</v>
      </c>
      <c r="M43" s="4">
        <f t="shared" si="4"/>
        <v>400</v>
      </c>
      <c r="N43">
        <v>3.39</v>
      </c>
      <c r="O43">
        <f t="shared" si="5"/>
        <v>108.48</v>
      </c>
      <c r="P43" s="4">
        <f t="shared" si="6"/>
        <v>700</v>
      </c>
      <c r="Q43">
        <v>3.3</v>
      </c>
      <c r="R43">
        <f t="shared" si="7"/>
        <v>105.6</v>
      </c>
    </row>
    <row r="44" spans="1:18" ht="25.5">
      <c r="A44" s="20" t="s">
        <v>96</v>
      </c>
      <c r="B44" s="21" t="s">
        <v>97</v>
      </c>
      <c r="C44" s="8">
        <v>1</v>
      </c>
      <c r="D44" s="10" t="s">
        <v>98</v>
      </c>
      <c r="E44" s="10" t="s">
        <v>99</v>
      </c>
      <c r="F44" t="s">
        <v>27</v>
      </c>
      <c r="G44" s="4">
        <f t="shared" si="0"/>
        <v>25</v>
      </c>
      <c r="H44">
        <v>1.7</v>
      </c>
      <c r="I44">
        <f t="shared" si="1"/>
        <v>54.4</v>
      </c>
      <c r="J44" s="4">
        <f t="shared" si="2"/>
        <v>100</v>
      </c>
      <c r="K44">
        <v>1.7</v>
      </c>
      <c r="L44">
        <f t="shared" si="3"/>
        <v>54.4</v>
      </c>
      <c r="M44" s="4">
        <f t="shared" si="4"/>
        <v>400</v>
      </c>
      <c r="N44">
        <v>1.7</v>
      </c>
      <c r="O44">
        <f t="shared" si="5"/>
        <v>54.4</v>
      </c>
      <c r="P44" s="4">
        <f t="shared" si="6"/>
        <v>700</v>
      </c>
      <c r="Q44">
        <v>1.7</v>
      </c>
      <c r="R44">
        <f t="shared" si="7"/>
        <v>54.4</v>
      </c>
    </row>
    <row r="45" spans="1:18">
      <c r="A45" s="20"/>
      <c r="B45" s="9"/>
      <c r="C45" s="8"/>
      <c r="D45" s="10" t="s">
        <v>98</v>
      </c>
      <c r="E45" s="10" t="s">
        <v>100</v>
      </c>
      <c r="G45" s="4">
        <f t="shared" si="0"/>
        <v>0</v>
      </c>
      <c r="I45" t="b">
        <f t="shared" si="1"/>
        <v>0</v>
      </c>
      <c r="J45" s="4">
        <f t="shared" si="2"/>
        <v>0</v>
      </c>
      <c r="L45" t="b">
        <f t="shared" si="3"/>
        <v>0</v>
      </c>
      <c r="M45" s="4">
        <f t="shared" si="4"/>
        <v>0</v>
      </c>
      <c r="O45" t="b">
        <f t="shared" si="5"/>
        <v>0</v>
      </c>
      <c r="P45" s="4">
        <f t="shared" si="6"/>
        <v>0</v>
      </c>
      <c r="R45" t="b">
        <f t="shared" si="7"/>
        <v>0</v>
      </c>
    </row>
    <row r="46" spans="1:18" ht="25.5">
      <c r="A46" s="20" t="s">
        <v>101</v>
      </c>
      <c r="B46" s="21" t="s">
        <v>102</v>
      </c>
      <c r="C46" s="8">
        <v>1</v>
      </c>
      <c r="D46" s="10" t="s">
        <v>103</v>
      </c>
      <c r="E46" s="10" t="s">
        <v>104</v>
      </c>
      <c r="F46" t="s">
        <v>27</v>
      </c>
      <c r="G46" s="4">
        <f t="shared" si="0"/>
        <v>25</v>
      </c>
      <c r="H46">
        <v>0.6028</v>
      </c>
      <c r="I46">
        <f t="shared" si="1"/>
        <v>19.2896</v>
      </c>
      <c r="J46" s="4">
        <f t="shared" si="2"/>
        <v>100</v>
      </c>
      <c r="K46">
        <v>0.52990000000000004</v>
      </c>
      <c r="L46">
        <f t="shared" si="3"/>
        <v>16.956800000000001</v>
      </c>
      <c r="M46" s="4">
        <f t="shared" si="4"/>
        <v>400</v>
      </c>
      <c r="N46">
        <v>0.49509999999999998</v>
      </c>
      <c r="O46">
        <f t="shared" si="5"/>
        <v>15.8432</v>
      </c>
      <c r="P46" s="4">
        <f t="shared" si="6"/>
        <v>700</v>
      </c>
      <c r="Q46">
        <v>0.47599999999999998</v>
      </c>
      <c r="R46">
        <f t="shared" si="7"/>
        <v>15.231999999999999</v>
      </c>
    </row>
    <row r="47" spans="1:18" ht="25.5">
      <c r="A47" s="20" t="s">
        <v>105</v>
      </c>
      <c r="B47" s="21" t="s">
        <v>106</v>
      </c>
      <c r="C47" s="8">
        <v>1</v>
      </c>
      <c r="D47" s="10" t="s">
        <v>107</v>
      </c>
      <c r="E47" s="10" t="s">
        <v>108</v>
      </c>
      <c r="F47" t="s">
        <v>27</v>
      </c>
      <c r="G47" s="4">
        <f t="shared" si="0"/>
        <v>25</v>
      </c>
      <c r="H47">
        <f>0.4*1.05</f>
        <v>0.42000000000000004</v>
      </c>
      <c r="I47">
        <f t="shared" si="1"/>
        <v>13.440000000000001</v>
      </c>
      <c r="J47" s="4">
        <f t="shared" si="2"/>
        <v>100</v>
      </c>
      <c r="K47">
        <f>0.383*1.05</f>
        <v>0.40215000000000001</v>
      </c>
      <c r="L47">
        <f t="shared" si="3"/>
        <v>12.8688</v>
      </c>
      <c r="M47" s="4">
        <f t="shared" si="4"/>
        <v>400</v>
      </c>
      <c r="N47">
        <f>0.363*1.05</f>
        <v>0.38114999999999999</v>
      </c>
      <c r="O47">
        <f t="shared" si="5"/>
        <v>12.1968</v>
      </c>
      <c r="P47" s="4">
        <f t="shared" si="6"/>
        <v>700</v>
      </c>
      <c r="Q47">
        <f>0.348*1.05</f>
        <v>0.3654</v>
      </c>
      <c r="R47">
        <f t="shared" si="7"/>
        <v>11.6928</v>
      </c>
    </row>
    <row r="48" spans="1:18" ht="26.25" hidden="1">
      <c r="A48" s="25" t="s">
        <v>109</v>
      </c>
      <c r="B48" s="10" t="s">
        <v>110</v>
      </c>
      <c r="C48" s="8">
        <v>48</v>
      </c>
      <c r="D48" s="8" t="s">
        <v>111</v>
      </c>
      <c r="E48" s="8" t="s">
        <v>112</v>
      </c>
      <c r="F48" t="s">
        <v>27</v>
      </c>
      <c r="G48" s="4">
        <f t="shared" si="0"/>
        <v>1200</v>
      </c>
      <c r="H48">
        <v>1.9199999999999998E-2</v>
      </c>
      <c r="I48">
        <f t="shared" ref="I48" si="8">IF($F48="NTD",H48,IF($F48="USD",H48*$G$3,IF($F48="RMB",H48*$G$4,IF($F48="JPY",H48*$G$2,FALSE))))</f>
        <v>0.61439999999999995</v>
      </c>
      <c r="J48" s="4">
        <f t="shared" si="2"/>
        <v>4800</v>
      </c>
      <c r="K48">
        <v>1.2999999999999999E-2</v>
      </c>
      <c r="L48">
        <f t="shared" ref="L48" si="9">IF($F48="NTD",K48,IF($F48="USD",K48*$G$3,IF($F48="RMB",K48*$G$4,IF($F48="JPY",K48*$G$2,FALSE))))</f>
        <v>0.41599999999999998</v>
      </c>
      <c r="M48" s="4">
        <f t="shared" si="4"/>
        <v>19200</v>
      </c>
      <c r="N48">
        <v>0.01</v>
      </c>
      <c r="O48">
        <f t="shared" ref="O48" si="10">IF($F48="NTD",N48,IF($F48="USD",N48*$G$3,IF($F48="RMB",N48*$G$4,IF($F48="JPY",N48*$G$2,FALSE))))</f>
        <v>0.32</v>
      </c>
      <c r="P48" s="4">
        <f t="shared" si="6"/>
        <v>33600</v>
      </c>
      <c r="Q48">
        <v>8.9999999999999993E-3</v>
      </c>
      <c r="R48">
        <f t="shared" ref="R48" si="11">IF($F48="NTD",Q48,IF($F48="USD",Q48*$G$3,IF($F48="RMB",Q48*$G$4,IF($F48="JPY",Q48*$G$2,FALSE))))</f>
        <v>0.28799999999999998</v>
      </c>
    </row>
  </sheetData>
  <autoFilter ref="A7:R48" xr:uid="{31E74A4A-65B4-4A50-9FED-969757C1E83E}">
    <filterColumn colId="7">
      <filters blank="1">
        <filter val="0.0059"/>
        <filter val="0.006"/>
        <filter val="0.007"/>
        <filter val="0.008"/>
        <filter val="0.009"/>
        <filter val="0.021"/>
        <filter val="0.0216"/>
        <filter val="0.0256"/>
        <filter val="0.029"/>
        <filter val="0.0525"/>
        <filter val="0.062"/>
        <filter val="0.077"/>
        <filter val="0.12"/>
        <filter val="0.1239"/>
        <filter val="0.125"/>
        <filter val="0.13"/>
        <filter val="0.152"/>
        <filter val="0.162"/>
        <filter val="0.19"/>
        <filter val="0.2"/>
        <filter val="0.216"/>
        <filter val="0.26"/>
        <filter val="0.3"/>
        <filter val="0.33"/>
        <filter val="0.36"/>
        <filter val="0.53"/>
        <filter val="0.5691"/>
        <filter val="0.609288"/>
        <filter val="0.63"/>
        <filter val="0.74"/>
        <filter val="0.799"/>
        <filter val="0.8"/>
        <filter val="0.86205"/>
        <filter val="0.9"/>
        <filter val="0.97"/>
        <filter val="1.1"/>
        <filter val="1.38"/>
        <filter val="11.12"/>
        <filter val="14"/>
        <filter val="1605"/>
        <filter val="2.1"/>
        <filter val="2.7"/>
        <filter val="2.75"/>
        <filter val="4.1"/>
        <filter val="5.5"/>
      </filters>
    </filterColumn>
  </autoFilter>
  <mergeCells count="2">
    <mergeCell ref="A4:C4"/>
    <mergeCell ref="A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原始檔</vt:lpstr>
      <vt:lpstr>報價檔</vt:lpstr>
      <vt:lpstr>原始檔!Print_Area</vt:lpstr>
      <vt:lpstr>原始檔!Print_Titles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Anitali 李雅婷</dc:creator>
  <cp:lastModifiedBy>Sander Valen 盧佩攸</cp:lastModifiedBy>
  <dcterms:created xsi:type="dcterms:W3CDTF">2026-03-03T05:17:20Z</dcterms:created>
  <dcterms:modified xsi:type="dcterms:W3CDTF">2026-03-09T02:36:37Z</dcterms:modified>
</cp:coreProperties>
</file>